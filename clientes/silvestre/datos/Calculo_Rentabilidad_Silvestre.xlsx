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" sheetId="1" state="visible" r:id="rId3"/>
    <sheet name="Directa" sheetId="2" state="visible" r:id="rId4"/>
    <sheet name="Produc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Desplegable. Define la comisión (hoja Datos).</t>
        </r>
      </text>
    </comment>
    <comment ref="K1" authorId="0">
      <text>
        <r>
          <rPr>
            <sz val="10"/>
            <rFont val="Arial"/>
            <family val="2"/>
          </rPr>
          <t xml:space="preserve">Desplegable: Clásica o con cuotas.</t>
        </r>
      </text>
    </comment>
    <comment ref="L1" authorId="0">
      <text>
        <r>
          <rPr>
            <sz val="10"/>
            <rFont val="Arial"/>
            <family val="2"/>
          </rPr>
          <t xml:space="preserve">Desplegable 21% o 10,5%. Por defecto, el mismo IVA de compra (columna D).</t>
        </r>
      </text>
    </comment>
    <comment ref="M1" authorId="0">
      <text>
        <r>
          <rPr>
            <sz val="10"/>
            <rFont val="Arial"/>
            <family val="2"/>
          </rPr>
          <t xml:space="preserve">Cargá tu precio. Viene precargado con el precio de referencia de ML (columna AD) cuando lo hay.</t>
        </r>
      </text>
    </comment>
    <comment ref="N1" authorId="0">
      <text>
        <r>
          <rPr>
            <sz val="10"/>
            <rFont val="Arial"/>
            <family val="2"/>
          </rPr>
          <t xml:space="preserve">Costo de envío que pagás vos. Poner manual, como en la hoja Directa.</t>
        </r>
      </text>
    </comment>
    <comment ref="R1" authorId="0">
      <text>
        <r>
          <rPr>
            <sz val="10"/>
            <rFont val="Arial"/>
            <family val="2"/>
          </rPr>
          <t xml:space="preserve">Mismos tramos que la hoja Directa.</t>
        </r>
      </text>
    </comment>
    <comment ref="U1" authorId="0">
      <text>
        <r>
          <rPr>
            <sz val="10"/>
            <rFont val="Arial"/>
            <family val="2"/>
          </rPr>
          <t xml:space="preserve">Crédito fiscal: costo sin IVA × IVA de compra (columna D).</t>
        </r>
      </text>
    </comment>
    <comment ref="X1" authorId="0">
      <text>
        <r>
          <rPr>
            <sz val="10"/>
            <rFont val="Arial"/>
            <family val="2"/>
          </rPr>
          <t xml:space="preserve">Alícuota de Datos!C2 (Argentina).</t>
        </r>
      </text>
    </comment>
    <comment ref="Z1" authorId="0">
      <text>
        <r>
          <rPr>
            <sz val="10"/>
            <rFont val="Arial"/>
            <family val="2"/>
          </rPr>
          <t xml:space="preserve">Igual que en Directa: suma de todo, incluido el costo con IVA.</t>
        </r>
      </text>
    </comment>
    <comment ref="AA1" authorId="0">
      <text>
        <r>
          <rPr>
            <sz val="10"/>
            <rFont val="Arial"/>
            <family val="2"/>
          </rPr>
          <t xml:space="preserve">Utilidad sobre precio sin IVA, como en Directa.</t>
        </r>
      </text>
    </comment>
    <comment ref="AD1" authorId="0">
      <text>
        <r>
          <rPr>
            <sz val="10"/>
            <rFont val="Arial"/>
            <family val="2"/>
          </rPr>
          <t xml:space="preserve">Precio más bajo de la competencia. Precargado con el menor precio promedio del export Jardin_YTD 2026 (ventas ÷ unidades). Reemplazalo por el precio actual de ML.</t>
        </r>
      </text>
    </comment>
    <comment ref="AE1" authorId="0">
      <text>
        <r>
          <rPr>
            <sz val="10"/>
            <rFont val="Arial"/>
            <family val="2"/>
          </rPr>
          <t xml:space="preserve">De dónde salió el precio de AD.</t>
        </r>
      </text>
    </comment>
    <comment ref="AF1" authorId="0">
      <text>
        <r>
          <rPr>
            <sz val="10"/>
            <rFont val="Arial"/>
            <family val="2"/>
          </rPr>
          <t xml:space="preserve">Margen que querés ganar a ese precio (sobre precio sin IVA).</t>
        </r>
      </text>
    </comment>
    <comment ref="AH1" authorId="0">
      <text>
        <r>
          <rPr>
            <sz val="10"/>
            <rFont val="Arial"/>
            <family val="2"/>
          </rPr>
          <t xml:space="preserve">Costo sin IVA que te deja el margen objetivo vendiendo al precio de AD.</t>
        </r>
      </text>
    </comment>
    <comment ref="AJ1" authorId="0">
      <text>
        <r>
          <rPr>
            <sz val="10"/>
            <rFont val="Arial"/>
            <family val="2"/>
          </rPr>
          <t xml:space="preserve">Positivo: tu costo está por encima del máximo, hay que bajarlo ese %.</t>
        </r>
      </text>
    </comment>
  </commentList>
</comments>
</file>

<file path=xl/sharedStrings.xml><?xml version="1.0" encoding="utf-8"?>
<sst xmlns="http://schemas.openxmlformats.org/spreadsheetml/2006/main" count="263" uniqueCount="124">
  <si>
    <t xml:space="preserve">País</t>
  </si>
  <si>
    <t xml:space="preserve">IVA</t>
  </si>
  <si>
    <t xml:space="preserve">Otros Impuestos</t>
  </si>
  <si>
    <t xml:space="preserve">Link</t>
  </si>
  <si>
    <t xml:space="preserve">Pais</t>
  </si>
  <si>
    <t xml:space="preserve">Cuotas</t>
  </si>
  <si>
    <t xml:space="preserve">Comisión</t>
  </si>
  <si>
    <t xml:space="preserve">Tipo Publicación</t>
  </si>
  <si>
    <t xml:space="preserve">IVA Argentina</t>
  </si>
  <si>
    <t xml:space="preserve">Argentina</t>
  </si>
  <si>
    <t xml:space="preserve">https://www.mercadolibre.com.ar/simulador-de-costos?</t>
  </si>
  <si>
    <t xml:space="preserve">Cuotas Int. Bajo</t>
  </si>
  <si>
    <t xml:space="preserve">Clásica</t>
  </si>
  <si>
    <t xml:space="preserve">Uruguay</t>
  </si>
  <si>
    <t xml:space="preserve">https://www.mercadolibre.com.uy/simulador-de-costos?</t>
  </si>
  <si>
    <t xml:space="preserve">3 Cuotas</t>
  </si>
  <si>
    <t xml:space="preserve">Ecuador</t>
  </si>
  <si>
    <t xml:space="preserve">https://www.mercadolibre.com.ec/simulador-de-costos?</t>
  </si>
  <si>
    <t xml:space="preserve">3 Cuotas Simples</t>
  </si>
  <si>
    <t xml:space="preserve">Colombia</t>
  </si>
  <si>
    <t xml:space="preserve">https://www.mercadolibre.com.co/simulador-de-costos?</t>
  </si>
  <si>
    <t xml:space="preserve">6 Cuotas</t>
  </si>
  <si>
    <t xml:space="preserve">6 Cuotas Simples</t>
  </si>
  <si>
    <t xml:space="preserve">Vertical</t>
  </si>
  <si>
    <t xml:space="preserve">9 Cuotas</t>
  </si>
  <si>
    <t xml:space="preserve">Zapatillas</t>
  </si>
  <si>
    <t xml:space="preserve">12 Cuotas</t>
  </si>
  <si>
    <t xml:space="preserve">Repuestos</t>
  </si>
  <si>
    <t xml:space="preserve">Tecnología</t>
  </si>
  <si>
    <t xml:space="preserve">Electro</t>
  </si>
  <si>
    <t xml:space="preserve">Valor Envío</t>
  </si>
  <si>
    <t xml:space="preserve">Juguetería</t>
  </si>
  <si>
    <t xml:space="preserve">Construcción</t>
  </si>
  <si>
    <t xml:space="preserve">Belleza y Cuidado</t>
  </si>
  <si>
    <t xml:space="preserve">Deportes</t>
  </si>
  <si>
    <t xml:space="preserve">Accesorios Vehiculos</t>
  </si>
  <si>
    <t xml:space="preserve">Mínimo para Envío</t>
  </si>
  <si>
    <t xml:space="preserve">Autopartes</t>
  </si>
  <si>
    <t xml:space="preserve">Hogar, muebles y jardín</t>
  </si>
  <si>
    <t xml:space="preserve">Ropa &amp; Acc</t>
  </si>
  <si>
    <t xml:space="preserve">Costo Fijo</t>
  </si>
  <si>
    <t xml:space="preserve">Moda</t>
  </si>
  <si>
    <t xml:space="preserve">Salud y equipmaientos médicos</t>
  </si>
  <si>
    <t xml:space="preserve">Costos Fijos</t>
  </si>
  <si>
    <t xml:space="preserve">$15000 / $25000</t>
  </si>
  <si>
    <t xml:space="preserve">400 / 800</t>
  </si>
  <si>
    <t xml:space="preserve">$25000 / $33000</t>
  </si>
  <si>
    <t xml:space="preserve">800 / 1200</t>
  </si>
  <si>
    <t xml:space="preserve">Sku</t>
  </si>
  <si>
    <t xml:space="preserve">Producto 1</t>
  </si>
  <si>
    <t xml:space="preserve">%</t>
  </si>
  <si>
    <t xml:space="preserve">Producto 2</t>
  </si>
  <si>
    <t xml:space="preserve">Diferencia</t>
  </si>
  <si>
    <t xml:space="preserve">Tipo de Publicación</t>
  </si>
  <si>
    <t xml:space="preserve">Precio de Venta (con Iva)</t>
  </si>
  <si>
    <t xml:space="preserve">Costo (con Iva)</t>
  </si>
  <si>
    <t xml:space="preserve">Iva Venta</t>
  </si>
  <si>
    <t xml:space="preserve">Iva Compra</t>
  </si>
  <si>
    <t xml:space="preserve">Iva Comisión</t>
  </si>
  <si>
    <t xml:space="preserve">Iva Costo Fijo</t>
  </si>
  <si>
    <t xml:space="preserve">Envío</t>
  </si>
  <si>
    <t xml:space="preserve">PONER MANUAL</t>
  </si>
  <si>
    <t xml:space="preserve">Iva Envío Compra</t>
  </si>
  <si>
    <t xml:space="preserve">Plata en Mano</t>
  </si>
  <si>
    <t xml:space="preserve">Utilidad</t>
  </si>
  <si>
    <t xml:space="preserve">MarkUp</t>
  </si>
  <si>
    <t xml:space="preserve"> </t>
  </si>
  <si>
    <t xml:space="preserve">SKU</t>
  </si>
  <si>
    <t xml:space="preserve">PRODUCTO</t>
  </si>
  <si>
    <t xml:space="preserve">COSTO ( SIN IVA ) </t>
  </si>
  <si>
    <t xml:space="preserve">COSTO TOTAL ( C/IVA)</t>
  </si>
  <si>
    <t xml:space="preserve">PROVEEDOR</t>
  </si>
  <si>
    <t xml:space="preserve">Nota</t>
  </si>
  <si>
    <t xml:space="preserve">USD </t>
  </si>
  <si>
    <t xml:space="preserve">Vertical ML</t>
  </si>
  <si>
    <t xml:space="preserve">Tipo de publicación</t>
  </si>
  <si>
    <t xml:space="preserve">IVA venta</t>
  </si>
  <si>
    <t xml:space="preserve">Precio de venta (c/IVA)</t>
  </si>
  <si>
    <t xml:space="preserve">Envío (costo, en positivo)</t>
  </si>
  <si>
    <t xml:space="preserve">Comisión %</t>
  </si>
  <si>
    <t xml:space="preserve">IVA comisión</t>
  </si>
  <si>
    <t xml:space="preserve">Costo fijo</t>
  </si>
  <si>
    <t xml:space="preserve">IVA costo fijo</t>
  </si>
  <si>
    <t xml:space="preserve">IVA venta $</t>
  </si>
  <si>
    <t xml:space="preserve">IVA compra $</t>
  </si>
  <si>
    <t xml:space="preserve">IVA envío</t>
  </si>
  <si>
    <t xml:space="preserve">Otros impuestos</t>
  </si>
  <si>
    <t xml:space="preserve">Plata en mano</t>
  </si>
  <si>
    <t xml:space="preserve">Margen %</t>
  </si>
  <si>
    <t xml:space="preserve">Precio más bajo ML (c/IVA)</t>
  </si>
  <si>
    <t xml:space="preserve">Publicación de referencia</t>
  </si>
  <si>
    <t xml:space="preserve">Margen objetivo</t>
  </si>
  <si>
    <t xml:space="preserve">Margen a precio ML con costo actual</t>
  </si>
  <si>
    <t xml:space="preserve">Costo máximo (s/IVA) para precio ML</t>
  </si>
  <si>
    <t xml:space="preserve">Costo máximo (c/IVA)</t>
  </si>
  <si>
    <t xml:space="preserve">Costo actual vs máximo</t>
  </si>
  <si>
    <t xml:space="preserve">Estado</t>
  </si>
  <si>
    <t xml:space="preserve">Sopla-Aspirador Pampa Pro 26cc SPP-26</t>
  </si>
  <si>
    <t xml:space="preserve">RUMBO SRL</t>
  </si>
  <si>
    <t xml:space="preserve">Costo con flete bonificado por cantidad ( RUMBO) + dto pago contado</t>
  </si>
  <si>
    <t xml:space="preserve">Sopladora Aspiradora A Explosión 26cc Pampa Pro · 10 u.</t>
  </si>
  <si>
    <t xml:space="preserve">Motor vertical Niwa 6,5HP 201cc MVNW-201</t>
  </si>
  <si>
    <t xml:space="preserve">Motor Niwa Cortacésped 6,5hp Tipo Briggs · 90 u.</t>
  </si>
  <si>
    <t xml:space="preserve">Motor vertical Niwa 4,5HP 149cc MVNW-149</t>
  </si>
  <si>
    <t xml:space="preserve">Motor Vertical Niwa Mvnw-149 4.5 Hp · 20 u.</t>
  </si>
  <si>
    <t xml:space="preserve">KCC1400E</t>
  </si>
  <si>
    <t xml:space="preserve">Cortadora de césped Eléctrica KONAN 1400W IC04124874U</t>
  </si>
  <si>
    <t xml:space="preserve">Cortadora Césped Eléctrica Konan 1400w · 2 u.</t>
  </si>
  <si>
    <t xml:space="preserve">FC1111410</t>
  </si>
  <si>
    <t xml:space="preserve">FIASA 18" RA Ruedas Altas 11" C/rulemanes ZONGSHEN XP XP140- 140CC</t>
  </si>
  <si>
    <t xml:space="preserve">FIASA </t>
  </si>
  <si>
    <t xml:space="preserve">Costo incluido Fletes ( FIASA )</t>
  </si>
  <si>
    <t xml:space="preserve">Cortadora Césped Nafta Fiasa Fc1111410 140cc 46cm · 5 u.</t>
  </si>
  <si>
    <t xml:space="preserve">FC1111700</t>
  </si>
  <si>
    <t xml:space="preserve">OLEO MAC 20" RA Ruedas Altas 11" C/rulemanes ZONGSHEN XP 200 196 CC</t>
  </si>
  <si>
    <t xml:space="preserve">Cortadora De Césped Naftera Oleo-mac® FC1111700 · 2 u.</t>
  </si>
  <si>
    <t xml:space="preserve">FC742-5555</t>
  </si>
  <si>
    <t xml:space="preserve">FC742-5555 CUCHILLA 20 OM AUT</t>
  </si>
  <si>
    <t xml:space="preserve">Sin referencia en el export: cargar precio de ML</t>
  </si>
  <si>
    <t xml:space="preserve">FC66020047</t>
  </si>
  <si>
    <t xml:space="preserve">FC66020047 CUCHILLA 43 ELECTRIC</t>
  </si>
  <si>
    <t xml:space="preserve">FC66040017</t>
  </si>
  <si>
    <t xml:space="preserve">CUCHILLA 47</t>
  </si>
  <si>
    <t xml:space="preserve">Repuesto Cuchilla Cortadora Oleo Mac Ge47 Ra · 30 u. (confirmar que sea la misma cuchilla)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</si>
</sst>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 &quot;$ &quot;* #,##0.00_ ;_ &quot;$ &quot;* \-#,##0.00_ ;_ &quot;$ &quot;* \-??_ ;_ @_ "/>
    <numFmt numFmtId="166" formatCode="0%"/>
    <numFmt numFmtId="167" formatCode="0.0%"/>
    <numFmt numFmtId="168" formatCode="0.00%"/>
    <numFmt numFmtId="169" formatCode="_(\$* #,##0.00_);_(\$* \(#,##0.00\);_(\$* \-??_);_(@_)"/>
    <numFmt numFmtId="170" formatCode="_-&quot;$ &quot;* #,##0_-;&quot;-$ &quot;* #,##0_-;_-&quot;$ &quot;* \-??_-;_-@_-"/>
    <numFmt numFmtId="171" formatCode="\$#,##0_);[RED]&quot;($&quot;#,##0\)"/>
    <numFmt numFmtId="172" formatCode="_-&quot;$ &quot;* #,##0.00_-;&quot;-$ &quot;* #,##0.00_-;_-&quot;$ &quot;* \-??_-;_-@_-"/>
    <numFmt numFmtId="173" formatCode="_ &quot;$ &quot;* #,##0.0_ ;_ &quot;$ &quot;* \-#,##0.0_ ;_ &quot;$ &quot;* \-??_ ;_ @_ "/>
    <numFmt numFmtId="174" formatCode="_-&quot;$ &quot;* #,##0.0_-;&quot;-$ &quot;* #,##0.0_-;_-&quot;$ &quot;* \-?_-;_-@_-"/>
    <numFmt numFmtId="175" formatCode="_ &quot;$ &quot;* #,##0_ ;_ &quot;$ &quot;* \-#,##0_ ;_ &quot;$ &quot;* \-??_ ;_ @_ "/>
    <numFmt numFmtId="176" formatCode="0.00"/>
    <numFmt numFmtId="177" formatCode="_-\$* #,##0.0_-;&quot;-$&quot;* #,##0.0_-;_-\$* \-?_-;_-@_-"/>
    <numFmt numFmtId="178" formatCode="0.0"/>
    <numFmt numFmtId="179" formatCode="&quot;$ &quot;#,##0.00"/>
    <numFmt numFmtId="180" formatCode="&quot;$ &quot;#,##0;&quot;-$ &quot;#,##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1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9"/>
      <color theme="1"/>
      <name val="Segoe UI"/>
      <family val="2"/>
      <charset val="1"/>
    </font>
    <font>
      <sz val="11"/>
      <name val="Calibri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9" tint="0.5999"/>
        <bgColor rgb="FFCCCCFF"/>
      </patternFill>
    </fill>
    <fill>
      <patternFill patternType="solid">
        <fgColor rgb="FF92D050"/>
        <bgColor rgb="FFC5E0B4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9C0006"/>
      </patternFill>
    </fill>
    <fill>
      <patternFill patternType="solid">
        <fgColor theme="5" tint="0.7999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1E5A23"/>
        <bgColor rgb="FF333333"/>
      </patternFill>
    </fill>
    <fill>
      <patternFill patternType="solid">
        <fgColor rgb="FFC16F1E"/>
        <bgColor rgb="FF808000"/>
      </patternFill>
    </fill>
    <fill>
      <patternFill patternType="solid">
        <fgColor rgb="FFFFC000"/>
        <bgColor rgb="FFFF9900"/>
      </patternFill>
    </fill>
    <fill>
      <patternFill patternType="solid">
        <fgColor rgb="FFFFFF66"/>
        <bgColor rgb="FFFFFF00"/>
      </patternFill>
    </fill>
    <fill>
      <patternFill patternType="solid">
        <fgColor rgb="FFFFF2CC"/>
        <bgColor rgb="FFFBE5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6" borderId="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1"/>
    <cellStyle name="*unknown*" xfId="20" builtinId="8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7030A0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5D6"/>
      <rgbColor rgb="FFFFFF66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C16F1E"/>
      <rgbColor rgb="FF666699"/>
      <rgbColor rgb="FF969696"/>
      <rgbColor rgb="FF003366"/>
      <rgbColor rgb="FF339966"/>
      <rgbColor rgb="FF003300"/>
      <rgbColor rgb="FF1E5A2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ercadolibre.com.ar/simulador-de-costos?" TargetMode="External"/><Relationship Id="rId2" Type="http://schemas.openxmlformats.org/officeDocument/2006/relationships/hyperlink" Target="https://www.mercadolibre.com.uy/simulador-de-costos?" TargetMode="External"/><Relationship Id="rId3" Type="http://schemas.openxmlformats.org/officeDocument/2006/relationships/hyperlink" Target="https://www.mercadolibre.com.ec/simulador-de-costos?" TargetMode="External"/><Relationship Id="rId4" Type="http://schemas.openxmlformats.org/officeDocument/2006/relationships/hyperlink" Target="https://www.mercadolibre.com.co/simulador-de-costos?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42578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  <col collapsed="false" customWidth="true" hidden="false" outlineLevel="0" max="3" min="3" style="0" width="32.15"/>
    <col collapsed="false" customWidth="true" hidden="false" outlineLevel="0" max="4" min="4" style="0" width="52.57"/>
    <col collapsed="false" customWidth="true" hidden="false" outlineLevel="0" max="5" min="5" style="0" width="3.86"/>
    <col collapsed="false" customWidth="true" hidden="false" outlineLevel="0" max="6" min="6" style="0" width="16.71"/>
    <col collapsed="false" customWidth="true" hidden="false" outlineLevel="0" max="7" min="7" style="0" width="18.14"/>
    <col collapsed="false" customWidth="true" hidden="false" outlineLevel="0" max="8" min="8" style="0" width="26"/>
    <col collapsed="false" customWidth="true" hidden="false" outlineLevel="0" max="9" min="9" style="0" width="13.15"/>
    <col collapsed="false" customWidth="true" hidden="false" outlineLevel="0" max="10" min="10" style="0" width="6.14"/>
    <col collapsed="false" customWidth="true" hidden="false" outlineLevel="0" max="11" min="11" style="0" width="16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/>
      <c r="I1" s="1" t="s">
        <v>6</v>
      </c>
      <c r="K1" s="1" t="s">
        <v>7</v>
      </c>
      <c r="M1" s="2" t="s">
        <v>8</v>
      </c>
    </row>
    <row r="2" customFormat="false" ht="15" hidden="false" customHeight="false" outlineLevel="0" collapsed="false">
      <c r="A2" s="3" t="s">
        <v>9</v>
      </c>
      <c r="B2" s="4" t="n">
        <v>0.21</v>
      </c>
      <c r="C2" s="4" t="n">
        <v>0.047</v>
      </c>
      <c r="D2" s="5" t="s">
        <v>10</v>
      </c>
      <c r="F2" s="3" t="s">
        <v>9</v>
      </c>
      <c r="G2" s="6" t="s">
        <v>11</v>
      </c>
      <c r="H2" s="0" t="str">
        <f aca="false">F2&amp;G2</f>
        <v>ArgentinaCuotas Int. Bajo</v>
      </c>
      <c r="I2" s="7" t="n">
        <v>0.04</v>
      </c>
      <c r="K2" s="6" t="s">
        <v>12</v>
      </c>
      <c r="M2" s="8" t="n">
        <v>0.21</v>
      </c>
    </row>
    <row r="3" customFormat="false" ht="15" hidden="false" customHeight="false" outlineLevel="0" collapsed="false">
      <c r="A3" s="3" t="s">
        <v>13</v>
      </c>
      <c r="B3" s="4" t="n">
        <v>0.22</v>
      </c>
      <c r="C3" s="4" t="n">
        <v>0.01</v>
      </c>
      <c r="D3" s="5" t="s">
        <v>14</v>
      </c>
      <c r="F3" s="3" t="s">
        <v>9</v>
      </c>
      <c r="G3" s="6" t="s">
        <v>15</v>
      </c>
      <c r="H3" s="0" t="str">
        <f aca="false">F3&amp;G3</f>
        <v>Argentina3 Cuotas</v>
      </c>
      <c r="I3" s="9" t="n">
        <v>0.084</v>
      </c>
      <c r="K3" s="6" t="s">
        <v>15</v>
      </c>
      <c r="M3" s="8" t="n">
        <v>0.105</v>
      </c>
    </row>
    <row r="4" customFormat="false" ht="15" hidden="false" customHeight="false" outlineLevel="0" collapsed="false">
      <c r="A4" s="3" t="s">
        <v>16</v>
      </c>
      <c r="B4" s="4" t="n">
        <v>0.15</v>
      </c>
      <c r="C4" s="4" t="n">
        <v>0.02</v>
      </c>
      <c r="D4" s="5" t="s">
        <v>17</v>
      </c>
      <c r="F4" s="3" t="s">
        <v>9</v>
      </c>
      <c r="G4" s="6" t="s">
        <v>18</v>
      </c>
      <c r="H4" s="0" t="str">
        <f aca="false">F4&amp;G4</f>
        <v>Argentina3 Cuotas Simples</v>
      </c>
      <c r="I4" s="7" t="n">
        <v>0.0655</v>
      </c>
      <c r="K4" s="6" t="s">
        <v>18</v>
      </c>
    </row>
    <row r="5" customFormat="false" ht="15" hidden="false" customHeight="false" outlineLevel="0" collapsed="false">
      <c r="A5" s="3" t="s">
        <v>19</v>
      </c>
      <c r="B5" s="4" t="n">
        <v>0.19</v>
      </c>
      <c r="C5" s="4" t="n">
        <v>0.03</v>
      </c>
      <c r="D5" s="5" t="s">
        <v>20</v>
      </c>
      <c r="F5" s="3" t="s">
        <v>9</v>
      </c>
      <c r="G5" s="6" t="s">
        <v>21</v>
      </c>
      <c r="H5" s="0" t="str">
        <f aca="false">F5&amp;G5</f>
        <v>Argentina6 Cuotas</v>
      </c>
      <c r="I5" s="10" t="n">
        <v>0.123</v>
      </c>
      <c r="K5" s="6" t="s">
        <v>21</v>
      </c>
    </row>
    <row r="6" customFormat="false" ht="15" hidden="false" customHeight="false" outlineLevel="0" collapsed="false">
      <c r="A6" s="3" t="s">
        <v>9</v>
      </c>
      <c r="B6" s="11" t="n">
        <v>0.105</v>
      </c>
      <c r="C6" s="4" t="n">
        <v>0.041</v>
      </c>
      <c r="F6" s="3" t="s">
        <v>9</v>
      </c>
      <c r="G6" s="6" t="s">
        <v>22</v>
      </c>
      <c r="H6" s="0" t="str">
        <f aca="false">F6&amp;G6</f>
        <v>Argentina6 Cuotas Simples</v>
      </c>
      <c r="I6" s="7" t="n">
        <v>0.1248</v>
      </c>
      <c r="K6" s="6" t="s">
        <v>22</v>
      </c>
    </row>
    <row r="7" customFormat="false" ht="15" hidden="false" customHeight="false" outlineLevel="0" collapsed="false">
      <c r="A7" s="1" t="s">
        <v>4</v>
      </c>
      <c r="B7" s="1" t="s">
        <v>23</v>
      </c>
      <c r="C7" s="1"/>
      <c r="D7" s="1" t="s">
        <v>6</v>
      </c>
      <c r="F7" s="3" t="s">
        <v>9</v>
      </c>
      <c r="G7" s="6" t="s">
        <v>24</v>
      </c>
      <c r="H7" s="0" t="str">
        <f aca="false">F7&amp;G7</f>
        <v>Argentina9 Cuotas</v>
      </c>
      <c r="I7" s="9" t="n">
        <v>0.157</v>
      </c>
      <c r="K7" s="6" t="s">
        <v>24</v>
      </c>
    </row>
    <row r="8" customFormat="false" ht="15" hidden="false" customHeight="false" outlineLevel="0" collapsed="false">
      <c r="A8" s="3" t="s">
        <v>9</v>
      </c>
      <c r="B8" s="4" t="s">
        <v>25</v>
      </c>
      <c r="C8" s="4" t="str">
        <f aca="false">A8&amp;B8</f>
        <v>ArgentinaZapatillas</v>
      </c>
      <c r="D8" s="7" t="n">
        <v>0.14</v>
      </c>
      <c r="F8" s="3" t="s">
        <v>9</v>
      </c>
      <c r="G8" s="6" t="s">
        <v>26</v>
      </c>
      <c r="H8" s="0" t="str">
        <f aca="false">F8&amp;G8</f>
        <v>Argentina12 Cuotas</v>
      </c>
      <c r="I8" s="10" t="n">
        <v>0.192</v>
      </c>
      <c r="K8" s="6" t="s">
        <v>26</v>
      </c>
    </row>
    <row r="9" customFormat="false" ht="15" hidden="false" customHeight="false" outlineLevel="0" collapsed="false">
      <c r="A9" s="3" t="s">
        <v>9</v>
      </c>
      <c r="B9" s="4" t="s">
        <v>27</v>
      </c>
      <c r="C9" s="4" t="str">
        <f aca="false">A9&amp;B9</f>
        <v>ArgentinaRepuestos</v>
      </c>
      <c r="D9" s="7" t="n">
        <v>0.14</v>
      </c>
      <c r="F9" s="3" t="s">
        <v>16</v>
      </c>
      <c r="G9" s="6" t="s">
        <v>26</v>
      </c>
      <c r="H9" s="0" t="str">
        <f aca="false">F9&amp;G9</f>
        <v>Ecuador12 Cuotas</v>
      </c>
      <c r="I9" s="7" t="n">
        <v>0.02</v>
      </c>
      <c r="K9" s="6" t="s">
        <v>11</v>
      </c>
    </row>
    <row r="10" customFormat="false" ht="15" hidden="false" customHeight="false" outlineLevel="0" collapsed="false">
      <c r="A10" s="3" t="s">
        <v>9</v>
      </c>
      <c r="B10" s="4" t="s">
        <v>28</v>
      </c>
      <c r="C10" s="4" t="str">
        <f aca="false">A10&amp;B10</f>
        <v>ArgentinaTecnología</v>
      </c>
      <c r="D10" s="7" t="n">
        <v>0.12</v>
      </c>
      <c r="F10" s="3" t="s">
        <v>19</v>
      </c>
      <c r="G10" s="6" t="s">
        <v>26</v>
      </c>
      <c r="H10" s="0" t="str">
        <f aca="false">F10&amp;G10</f>
        <v>Colombia12 Cuotas</v>
      </c>
      <c r="I10" s="7" t="n">
        <v>0.04</v>
      </c>
    </row>
    <row r="11" customFormat="false" ht="15" hidden="false" customHeight="false" outlineLevel="0" collapsed="false">
      <c r="A11" s="3" t="s">
        <v>9</v>
      </c>
      <c r="B11" s="4" t="s">
        <v>29</v>
      </c>
      <c r="C11" s="4" t="str">
        <f aca="false">A11&amp;B11</f>
        <v>ArgentinaElectro</v>
      </c>
      <c r="D11" s="7" t="n">
        <v>0.145</v>
      </c>
      <c r="F11" s="1" t="s">
        <v>4</v>
      </c>
      <c r="G11" s="1" t="s">
        <v>30</v>
      </c>
      <c r="H11" s="1"/>
    </row>
    <row r="12" customFormat="false" ht="15" hidden="false" customHeight="false" outlineLevel="0" collapsed="false">
      <c r="A12" s="3" t="s">
        <v>9</v>
      </c>
      <c r="B12" s="4" t="s">
        <v>31</v>
      </c>
      <c r="C12" s="4" t="str">
        <f aca="false">A12&amp;B12</f>
        <v>ArgentinaJuguetería</v>
      </c>
      <c r="D12" s="7" t="n">
        <v>0.145</v>
      </c>
      <c r="F12" s="3" t="s">
        <v>9</v>
      </c>
      <c r="G12" s="12" t="n">
        <v>12000</v>
      </c>
      <c r="H12" s="12"/>
    </row>
    <row r="13" customFormat="false" ht="15" hidden="false" customHeight="false" outlineLevel="0" collapsed="false">
      <c r="A13" s="3" t="s">
        <v>9</v>
      </c>
      <c r="B13" s="4" t="s">
        <v>32</v>
      </c>
      <c r="C13" s="4" t="str">
        <f aca="false">A13&amp;B13</f>
        <v>ArgentinaConstrucción</v>
      </c>
      <c r="D13" s="7" t="n">
        <v>0.145</v>
      </c>
      <c r="F13" s="3" t="s">
        <v>13</v>
      </c>
      <c r="G13" s="12" t="n">
        <v>200</v>
      </c>
      <c r="H13" s="12"/>
    </row>
    <row r="14" customFormat="false" ht="15" hidden="false" customHeight="false" outlineLevel="0" collapsed="false">
      <c r="A14" s="3" t="s">
        <v>9</v>
      </c>
      <c r="B14" s="4" t="s">
        <v>33</v>
      </c>
      <c r="C14" s="4" t="str">
        <f aca="false">A14&amp;B14</f>
        <v>ArgentinaBelleza y Cuidado</v>
      </c>
      <c r="D14" s="7" t="n">
        <v>0.15</v>
      </c>
      <c r="F14" s="3" t="s">
        <v>16</v>
      </c>
      <c r="G14" s="12" t="n">
        <v>2.5</v>
      </c>
      <c r="H14" s="12"/>
    </row>
    <row r="15" customFormat="false" ht="15" hidden="false" customHeight="false" outlineLevel="0" collapsed="false">
      <c r="A15" s="3" t="s">
        <v>9</v>
      </c>
      <c r="B15" s="4" t="s">
        <v>34</v>
      </c>
      <c r="C15" s="4" t="str">
        <f aca="false">A15&amp;B15</f>
        <v>ArgentinaDeportes</v>
      </c>
      <c r="D15" s="7" t="n">
        <v>0.135</v>
      </c>
      <c r="F15" s="3" t="s">
        <v>19</v>
      </c>
      <c r="G15" s="12" t="n">
        <v>8000</v>
      </c>
    </row>
    <row r="16" customFormat="false" ht="15" hidden="false" customHeight="false" outlineLevel="0" collapsed="false">
      <c r="A16" s="3" t="s">
        <v>9</v>
      </c>
      <c r="B16" s="4" t="s">
        <v>35</v>
      </c>
      <c r="C16" s="4" t="str">
        <f aca="false">A16&amp;B16</f>
        <v>ArgentinaAccesorios Vehiculos</v>
      </c>
      <c r="D16" s="7" t="n">
        <v>0.145</v>
      </c>
      <c r="F16" s="1" t="s">
        <v>4</v>
      </c>
      <c r="G16" s="1" t="s">
        <v>36</v>
      </c>
      <c r="H16" s="1"/>
    </row>
    <row r="17" customFormat="false" ht="15" hidden="false" customHeight="false" outlineLevel="0" collapsed="false">
      <c r="A17" s="3" t="s">
        <v>9</v>
      </c>
      <c r="B17" s="4" t="s">
        <v>37</v>
      </c>
      <c r="C17" s="4" t="str">
        <f aca="false">A17&amp;B17</f>
        <v>ArgentinaAutopartes</v>
      </c>
      <c r="D17" s="7" t="n">
        <v>0.145</v>
      </c>
      <c r="F17" s="1"/>
      <c r="G17" s="1"/>
      <c r="H17" s="1"/>
    </row>
    <row r="18" customFormat="false" ht="15" hidden="false" customHeight="false" outlineLevel="0" collapsed="false">
      <c r="A18" s="3" t="s">
        <v>9</v>
      </c>
      <c r="B18" s="4" t="s">
        <v>38</v>
      </c>
      <c r="C18" s="4" t="str">
        <f aca="false">A18&amp;B18</f>
        <v>ArgentinaHogar, muebles y jardín</v>
      </c>
      <c r="D18" s="7" t="n">
        <v>0.14</v>
      </c>
      <c r="F18" s="3" t="s">
        <v>9</v>
      </c>
      <c r="G18" s="12" t="n">
        <v>33000</v>
      </c>
      <c r="H18" s="12"/>
    </row>
    <row r="19" customFormat="false" ht="15" hidden="false" customHeight="false" outlineLevel="0" collapsed="false">
      <c r="A19" s="3" t="s">
        <v>9</v>
      </c>
      <c r="B19" s="4" t="s">
        <v>39</v>
      </c>
      <c r="C19" s="4" t="str">
        <f aca="false">A19&amp;B19</f>
        <v>ArgentinaRopa &amp; Acc</v>
      </c>
      <c r="D19" s="7" t="n">
        <v>0.135</v>
      </c>
      <c r="F19" s="3" t="s">
        <v>13</v>
      </c>
      <c r="G19" s="12" t="n">
        <v>1200</v>
      </c>
      <c r="H19" s="12"/>
    </row>
    <row r="20" customFormat="false" ht="15" hidden="false" customHeight="false" outlineLevel="0" collapsed="false">
      <c r="A20" s="3" t="s">
        <v>13</v>
      </c>
      <c r="B20" s="4" t="s">
        <v>25</v>
      </c>
      <c r="C20" s="4" t="str">
        <f aca="false">A19&amp;B20</f>
        <v>ArgentinaZapatillas</v>
      </c>
      <c r="D20" s="7" t="n">
        <v>0.145</v>
      </c>
      <c r="F20" s="3" t="s">
        <v>16</v>
      </c>
      <c r="G20" s="12" t="n">
        <v>10</v>
      </c>
      <c r="H20" s="12"/>
    </row>
    <row r="21" customFormat="false" ht="15" hidden="false" customHeight="false" outlineLevel="0" collapsed="false">
      <c r="A21" s="3" t="s">
        <v>13</v>
      </c>
      <c r="B21" s="4" t="s">
        <v>37</v>
      </c>
      <c r="C21" s="4" t="str">
        <f aca="false">A20&amp;B21</f>
        <v>UruguayAutopartes</v>
      </c>
      <c r="D21" s="7" t="n">
        <v>0.15</v>
      </c>
      <c r="F21" s="3" t="s">
        <v>19</v>
      </c>
      <c r="G21" s="12" t="n">
        <v>60000</v>
      </c>
    </row>
    <row r="22" customFormat="false" ht="15" hidden="false" customHeight="false" outlineLevel="0" collapsed="false">
      <c r="A22" s="3" t="s">
        <v>13</v>
      </c>
      <c r="B22" s="4" t="s">
        <v>28</v>
      </c>
      <c r="C22" s="4" t="str">
        <f aca="false">A21&amp;B22</f>
        <v>UruguayTecnología</v>
      </c>
      <c r="D22" s="7" t="n">
        <v>0.14</v>
      </c>
      <c r="F22" s="1" t="s">
        <v>4</v>
      </c>
      <c r="G22" s="1" t="s">
        <v>40</v>
      </c>
      <c r="H22" s="1"/>
    </row>
    <row r="23" customFormat="false" ht="15" hidden="false" customHeight="false" outlineLevel="0" collapsed="false">
      <c r="A23" s="3" t="s">
        <v>13</v>
      </c>
      <c r="B23" s="4" t="s">
        <v>29</v>
      </c>
      <c r="C23" s="4" t="str">
        <f aca="false">A22&amp;B23</f>
        <v>UruguayElectro</v>
      </c>
      <c r="D23" s="7" t="n">
        <v>0.14</v>
      </c>
      <c r="F23" s="3" t="s">
        <v>9</v>
      </c>
      <c r="G23" s="12" t="n">
        <v>2628</v>
      </c>
      <c r="H23" s="12"/>
    </row>
    <row r="24" customFormat="false" ht="15" hidden="false" customHeight="false" outlineLevel="0" collapsed="false">
      <c r="A24" s="3" t="s">
        <v>13</v>
      </c>
      <c r="B24" s="4" t="s">
        <v>32</v>
      </c>
      <c r="C24" s="4" t="str">
        <f aca="false">A23&amp;B24</f>
        <v>UruguayConstrucción</v>
      </c>
      <c r="D24" s="7" t="n">
        <v>0.145</v>
      </c>
      <c r="F24" s="3" t="s">
        <v>13</v>
      </c>
      <c r="G24" s="12" t="n">
        <v>29</v>
      </c>
      <c r="H24" s="12"/>
    </row>
    <row r="25" customFormat="false" ht="15" hidden="false" customHeight="false" outlineLevel="0" collapsed="false">
      <c r="A25" s="3" t="s">
        <v>13</v>
      </c>
      <c r="B25" s="4" t="s">
        <v>33</v>
      </c>
      <c r="C25" s="4" t="str">
        <f aca="false">A25&amp;B25</f>
        <v>UruguayBelleza y Cuidado</v>
      </c>
      <c r="D25" s="7" t="n">
        <v>0.135</v>
      </c>
      <c r="F25" s="3" t="s">
        <v>16</v>
      </c>
      <c r="G25" s="12" t="n">
        <v>0</v>
      </c>
      <c r="H25" s="12"/>
    </row>
    <row r="26" customFormat="false" ht="15" hidden="false" customHeight="false" outlineLevel="0" collapsed="false">
      <c r="A26" s="3" t="s">
        <v>16</v>
      </c>
      <c r="B26" s="4" t="s">
        <v>34</v>
      </c>
      <c r="C26" s="4" t="str">
        <f aca="false">A28&amp;B26</f>
        <v>UruguayDeportes</v>
      </c>
      <c r="D26" s="7" t="n">
        <v>0.145</v>
      </c>
      <c r="F26" s="3" t="s">
        <v>19</v>
      </c>
      <c r="G26" s="12" t="n">
        <v>4000</v>
      </c>
    </row>
    <row r="27" customFormat="false" ht="15" hidden="false" customHeight="false" outlineLevel="0" collapsed="false">
      <c r="A27" s="3" t="s">
        <v>19</v>
      </c>
      <c r="B27" s="3" t="s">
        <v>41</v>
      </c>
      <c r="C27" s="4" t="str">
        <f aca="false">A27&amp;B27</f>
        <v>ColombiaModa</v>
      </c>
      <c r="D27" s="11" t="n">
        <v>0.155</v>
      </c>
    </row>
    <row r="28" customFormat="false" ht="15" hidden="false" customHeight="false" outlineLevel="0" collapsed="false">
      <c r="A28" s="3" t="s">
        <v>13</v>
      </c>
      <c r="B28" s="4" t="s">
        <v>42</v>
      </c>
      <c r="C28" s="4" t="str">
        <f aca="false">A28&amp;B28</f>
        <v>UruguaySalud y equipmaientos médicos</v>
      </c>
      <c r="D28" s="11" t="n">
        <v>0.155</v>
      </c>
    </row>
    <row r="29" customFormat="false" ht="15" hidden="false" customHeight="false" outlineLevel="0" collapsed="false">
      <c r="A29" s="3" t="s">
        <v>16</v>
      </c>
      <c r="B29" s="4" t="s">
        <v>37</v>
      </c>
      <c r="C29" s="4" t="str">
        <f aca="false">A26&amp;B29</f>
        <v>EcuadorAutopartes</v>
      </c>
      <c r="D29" s="7" t="n">
        <v>0.12</v>
      </c>
      <c r="F29" s="1" t="s">
        <v>9</v>
      </c>
      <c r="G29" s="1" t="s">
        <v>43</v>
      </c>
      <c r="H29" s="1" t="s">
        <v>13</v>
      </c>
      <c r="I29" s="1" t="s">
        <v>43</v>
      </c>
    </row>
    <row r="30" customFormat="false" ht="15" hidden="false" customHeight="false" outlineLevel="0" collapsed="false">
      <c r="A30" s="3" t="s">
        <v>19</v>
      </c>
      <c r="B30" s="4" t="s">
        <v>37</v>
      </c>
      <c r="C30" s="4" t="str">
        <f aca="false">A27&amp;B30</f>
        <v>ColombiaAutopartes</v>
      </c>
      <c r="D30" s="7" t="n">
        <v>0.15</v>
      </c>
      <c r="F30" s="13" t="n">
        <v>15000</v>
      </c>
      <c r="G30" s="12" t="n">
        <v>1095</v>
      </c>
      <c r="H30" s="13" t="n">
        <v>400</v>
      </c>
      <c r="I30" s="12" t="n">
        <v>9</v>
      </c>
    </row>
    <row r="31" customFormat="false" ht="15" hidden="false" customHeight="false" outlineLevel="0" collapsed="false">
      <c r="F31" s="14" t="s">
        <v>44</v>
      </c>
      <c r="G31" s="12" t="n">
        <v>2190</v>
      </c>
      <c r="H31" s="14" t="s">
        <v>45</v>
      </c>
      <c r="I31" s="12" t="n">
        <v>16</v>
      </c>
    </row>
    <row r="32" customFormat="false" ht="15" hidden="false" customHeight="false" outlineLevel="0" collapsed="false">
      <c r="F32" s="3" t="s">
        <v>46</v>
      </c>
      <c r="G32" s="12" t="n">
        <v>2628</v>
      </c>
      <c r="H32" s="3" t="s">
        <v>47</v>
      </c>
      <c r="I32" s="12" t="n">
        <v>29</v>
      </c>
    </row>
    <row r="33" customFormat="false" ht="15" hidden="false" customHeight="false" outlineLevel="0" collapsed="false">
      <c r="F33" s="15" t="n">
        <v>33000</v>
      </c>
      <c r="G33" s="12" t="n">
        <v>0</v>
      </c>
      <c r="H33" s="15"/>
      <c r="I33" s="12"/>
    </row>
  </sheetData>
  <hyperlinks>
    <hyperlink ref="D2" r:id="rId1" display="https://www.mercadolibre.com.ar/simulador-de-costos?"/>
    <hyperlink ref="D3" r:id="rId2" display="https://www.mercadolibre.com.uy/simulador-de-costos?"/>
    <hyperlink ref="D4" r:id="rId3" display="https://www.mercadolibre.com.ec/simulador-de-costos?"/>
    <hyperlink ref="D5" r:id="rId4" display="https://www.mercadolibre.com.co/simulador-de-costos?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O9" activeCellId="0" sqref="O9"/>
    </sheetView>
  </sheetViews>
  <sheetFormatPr defaultColWidth="11.42578125" defaultRowHeight="15" zeroHeight="false" outlineLevelRow="1" outlineLevelCol="0"/>
  <cols>
    <col collapsed="false" customWidth="true" hidden="false" outlineLevel="0" max="1" min="1" style="0" width="21.57"/>
    <col collapsed="false" customWidth="true" hidden="false" outlineLevel="0" max="2" min="2" style="16" width="24.57"/>
    <col collapsed="false" customWidth="true" hidden="false" outlineLevel="0" max="3" min="3" style="17" width="16.14"/>
    <col collapsed="false" customWidth="true" hidden="false" outlineLevel="0" max="4" min="4" style="0" width="3.57"/>
    <col collapsed="false" customWidth="true" hidden="true" outlineLevel="0" max="5" min="5" style="0" width="22.15"/>
    <col collapsed="false" customWidth="true" hidden="true" outlineLevel="0" max="6" min="6" style="0" width="16.43"/>
    <col collapsed="false" customWidth="true" hidden="true" outlineLevel="0" max="7" min="7" style="0" width="16.14"/>
    <col collapsed="false" customWidth="true" hidden="true" outlineLevel="0" max="8" min="8" style="0" width="3.71"/>
    <col collapsed="false" customWidth="false" hidden="true" outlineLevel="0" max="10" min="9" style="0" width="11.43"/>
    <col collapsed="false" customWidth="true" hidden="true" outlineLevel="0" max="12" min="11" style="0" width="11.53"/>
    <col collapsed="false" customWidth="true" hidden="false" outlineLevel="0" max="13" min="13" style="0" width="2.71"/>
  </cols>
  <sheetData>
    <row r="1" customFormat="false" ht="15" hidden="false" customHeight="false" outlineLevel="0" collapsed="false">
      <c r="A1" s="18" t="s">
        <v>48</v>
      </c>
      <c r="B1" s="19" t="s">
        <v>49</v>
      </c>
      <c r="C1" s="20" t="s">
        <v>50</v>
      </c>
      <c r="E1" s="18" t="s">
        <v>48</v>
      </c>
      <c r="F1" s="19" t="s">
        <v>51</v>
      </c>
      <c r="G1" s="20" t="s">
        <v>50</v>
      </c>
      <c r="I1" s="21" t="s">
        <v>52</v>
      </c>
    </row>
    <row r="2" s="25" customFormat="true" ht="15" hidden="false" customHeight="false" outlineLevel="0" collapsed="false">
      <c r="A2" s="22" t="s">
        <v>0</v>
      </c>
      <c r="B2" s="23" t="s">
        <v>9</v>
      </c>
      <c r="C2" s="24"/>
      <c r="E2" s="22" t="s">
        <v>0</v>
      </c>
      <c r="F2" s="23" t="s">
        <v>9</v>
      </c>
      <c r="G2" s="24"/>
      <c r="I2" s="21"/>
    </row>
    <row r="3" s="25" customFormat="true" ht="15" hidden="false" customHeight="false" outlineLevel="0" collapsed="false">
      <c r="A3" s="22" t="s">
        <v>23</v>
      </c>
      <c r="B3" s="23" t="s">
        <v>32</v>
      </c>
      <c r="C3" s="24"/>
      <c r="E3" s="22" t="s">
        <v>23</v>
      </c>
      <c r="F3" s="23" t="s">
        <v>32</v>
      </c>
      <c r="G3" s="24"/>
      <c r="I3" s="21"/>
    </row>
    <row r="4" s="25" customFormat="true" ht="15" hidden="false" customHeight="false" outlineLevel="0" collapsed="false">
      <c r="A4" s="22" t="s">
        <v>53</v>
      </c>
      <c r="B4" s="23" t="s">
        <v>12</v>
      </c>
      <c r="C4" s="26" t="n">
        <f aca="false">IFERROR(IF(B4="Clásica",((VLOOKUP(B2&amp;B3,Datos!C:D,2,0))),(VLOOKUP(B2&amp;B3,Datos!C:D,2,0)+VLOOKUP(B2&amp;B4,Datos!H:I,2,0))),"Tipo Public. Invalida")</f>
        <v>0.145</v>
      </c>
      <c r="E4" s="22" t="s">
        <v>53</v>
      </c>
      <c r="F4" s="23" t="s">
        <v>12</v>
      </c>
      <c r="G4" s="26" t="n">
        <f aca="false">IFERROR(IF(F4="Clásica",((VLOOKUP(F2&amp;F3,Datos!C:D,2,0))),(VLOOKUP(F2&amp;F3,Datos!C:D,2,0)+VLOOKUP(F2&amp;F4,Datos!H:I,2,0))),"Tipo Public. Invalida")</f>
        <v>0.145</v>
      </c>
    </row>
    <row r="5" s="25" customFormat="true" ht="15" hidden="false" customHeight="false" outlineLevel="0" collapsed="false">
      <c r="A5" s="22" t="s">
        <v>54</v>
      </c>
      <c r="B5" s="27" t="n">
        <v>250000</v>
      </c>
      <c r="C5" s="28"/>
      <c r="E5" s="22" t="s">
        <v>54</v>
      </c>
      <c r="F5" s="27" t="n">
        <v>34110</v>
      </c>
      <c r="G5" s="24"/>
      <c r="I5" s="29" t="n">
        <f aca="false">F5/B5</f>
        <v>0.13644</v>
      </c>
    </row>
    <row r="6" s="25" customFormat="true" ht="15" hidden="false" customHeight="false" outlineLevel="0" collapsed="false">
      <c r="A6" s="22" t="s">
        <v>55</v>
      </c>
      <c r="B6" s="27" t="n">
        <v>-133000</v>
      </c>
      <c r="C6" s="24"/>
      <c r="E6" s="22" t="s">
        <v>55</v>
      </c>
      <c r="F6" s="27" t="n">
        <v>-14239.8946265628</v>
      </c>
      <c r="G6" s="24"/>
    </row>
    <row r="7" s="25" customFormat="true" ht="15" hidden="false" customHeight="false" outlineLevel="1" collapsed="false">
      <c r="A7" s="22" t="s">
        <v>56</v>
      </c>
      <c r="B7" s="30" t="n">
        <f aca="false">IF($B$2="Argentina", -B5/(1+C7)*C7, -B5/(1+VLOOKUP($B$2,Datos!$A$2:$B$5,2,FALSE()))*VLOOKUP($B$2,Datos!$A$2:$B$5,2,FALSE()))</f>
        <v>-23755.6561085973</v>
      </c>
      <c r="C7" s="31" t="n">
        <v>0.105</v>
      </c>
      <c r="E7" s="22" t="s">
        <v>56</v>
      </c>
      <c r="F7" s="30" t="n">
        <f aca="false">IF($B$2="Argentina", -F5/(1+G7)*G7, -F5/(1+VLOOKUP($B$2,Datos!$A$2:$B$5,2,FALSE()))*VLOOKUP($B$2,Datos!$A$2:$B$5,2,FALSE()))</f>
        <v>-5919.9173553719</v>
      </c>
      <c r="G7" s="31" t="n">
        <v>0.21</v>
      </c>
      <c r="J7" s="32" t="n">
        <f aca="false">+F5/B5</f>
        <v>0.13644</v>
      </c>
    </row>
    <row r="8" s="25" customFormat="true" ht="15" hidden="false" customHeight="false" outlineLevel="1" collapsed="false">
      <c r="A8" s="22" t="s">
        <v>57</v>
      </c>
      <c r="B8" s="30" t="n">
        <f aca="false">IF($B$2="Argentina", -B6/(1+C8)*C8, -B6/(1+VLOOKUP($B$2,Datos!$A$2:$B$5,2,FALSE()))*VLOOKUP($B$2,Datos!$A$2:$B$5,2,FALSE()))</f>
        <v>12638.0090497738</v>
      </c>
      <c r="C8" s="31" t="n">
        <v>0.105</v>
      </c>
      <c r="E8" s="22" t="s">
        <v>57</v>
      </c>
      <c r="F8" s="30" t="n">
        <f aca="false">IF($B$2="Argentina", -F6/(1+G8)*G8, -F6/(1+VLOOKUP($B$2,Datos!$A$2:$B$5,2,FALSE()))*VLOOKUP($B$2,Datos!$A$2:$B$5,2,FALSE()))</f>
        <v>2471.38667072578</v>
      </c>
      <c r="G8" s="31" t="n">
        <v>0.21</v>
      </c>
    </row>
    <row r="9" s="25" customFormat="true" ht="15" hidden="false" customHeight="false" outlineLevel="1" collapsed="false">
      <c r="A9" s="22" t="s">
        <v>6</v>
      </c>
      <c r="B9" s="30" t="n">
        <f aca="false">IFERROR(-((B5*(IF(B4="Clásica",((VLOOKUP(B2&amp;B3,Datos!C:D,2,0))),(VLOOKUP(B2&amp;B3,Datos!C:D,2,0)+VLOOKUP(B2&amp;B4,Datos!H:I,2,0)))))),"Error")</f>
        <v>-36250</v>
      </c>
      <c r="C9" s="26" t="n">
        <f aca="false">IFERROR(IF(B4="Clásica",((VLOOKUP(B2&amp;B3,Datos!C:D,2,0))),(VLOOKUP(B2&amp;B3,Datos!C:D,2,0)+VLOOKUP(B2&amp;B4,Datos!H:I,2,0))),"Error")</f>
        <v>0.145</v>
      </c>
      <c r="E9" s="22" t="s">
        <v>6</v>
      </c>
      <c r="F9" s="30" t="n">
        <f aca="false">IFERROR(-((F5*(IF(F4="Clásica",((VLOOKUP(F2&amp;F3,Datos!C:D,2,0))),(VLOOKUP(F2&amp;F3,Datos!C:D,2,0)+VLOOKUP(F2&amp;F4,Datos!H:I,2,0)))))),"Error")</f>
        <v>-4945.95</v>
      </c>
      <c r="G9" s="26" t="n">
        <f aca="false">IFERROR(IF(F4="Clásica",((VLOOKUP(F2&amp;F3,Datos!C:D,2,0))),(VLOOKUP(F2&amp;F3,Datos!C:D,2,0)+VLOOKUP(F2&amp;F4,Datos!H:I,2,0))),"Error")</f>
        <v>0.145</v>
      </c>
    </row>
    <row r="10" s="25" customFormat="true" ht="15" hidden="false" customHeight="false" outlineLevel="1" collapsed="false">
      <c r="A10" s="22" t="s">
        <v>58</v>
      </c>
      <c r="B10" s="30" t="n">
        <f aca="false">IFERROR(-(B9-(B9/(1+VLOOKUP(B2,Datos!A1:B5,2,0)))),0)</f>
        <v>6291.32231404959</v>
      </c>
      <c r="C10" s="33" t="n">
        <f aca="false">VLOOKUP(B2,Datos!A1:B5,2,0)</f>
        <v>0.21</v>
      </c>
      <c r="D10" s="32"/>
      <c r="E10" s="22" t="s">
        <v>58</v>
      </c>
      <c r="F10" s="30" t="n">
        <f aca="false">IFERROR(-(F9-(F9/(1+VLOOKUP(F2,Datos!A1:B5,2,0)))),0)</f>
        <v>858.388016528926</v>
      </c>
      <c r="G10" s="33" t="n">
        <f aca="false">VLOOKUP(F2,Datos!A1:B5,2,0)</f>
        <v>0.21</v>
      </c>
    </row>
    <row r="11" s="25" customFormat="true" ht="15" hidden="false" customHeight="false" outlineLevel="1" collapsed="false">
      <c r="A11" s="22" t="s">
        <v>40</v>
      </c>
      <c r="B11" s="30" t="n">
        <f aca="false">IF(B2="Argentina",
    IF(B5&lt;=15000, -1000, IF(B5&lt;=25000, -2000, IF(B5&lt;=33000, -2400, 0))),
    IF(B2="Uruguay",
        IF(B5&lt;=400, -9, IF(B5&lt;=800, -16, IF(B5&lt;=1200, -29, 0))),
        -VLOOKUP(B2, Datos!F22:G26, 2, FALSE())))</f>
        <v>0</v>
      </c>
      <c r="C11" s="34"/>
      <c r="E11" s="22" t="s">
        <v>40</v>
      </c>
      <c r="F11" s="30" t="n">
        <f aca="false">IF(F2="Argentina",
    IF(F5&lt;=15000, -1000, IF(F5&lt;=25000, -2000, IF(F5&lt;=33000, -2400, 0))),
    IF(F2="Uruguay",
        IF(F5&lt;=400, -9, IF(F5&lt;=800, -16, IF(F5&lt;=1200, -29, 0))),
        -VLOOKUP(F2, Datos!J22:K26, 2, FALSE())))</f>
        <v>0</v>
      </c>
      <c r="G11" s="34"/>
    </row>
    <row r="12" s="25" customFormat="true" ht="15" hidden="false" customHeight="false" outlineLevel="1" collapsed="false">
      <c r="A12" s="22" t="s">
        <v>59</v>
      </c>
      <c r="B12" s="30" t="n">
        <f aca="false">-(B11-(B11/(1+VLOOKUP(B2,Datos!A1:B5,2,0))))</f>
        <v>-0</v>
      </c>
      <c r="C12" s="33" t="n">
        <f aca="false">VLOOKUP(B2,Datos!A1:B5,2,0)</f>
        <v>0.21</v>
      </c>
      <c r="E12" s="22" t="s">
        <v>59</v>
      </c>
      <c r="F12" s="30" t="n">
        <f aca="false">-(F11-(F11/(1+VLOOKUP(F2,Datos!A1:B5,2,0))))</f>
        <v>-0</v>
      </c>
      <c r="G12" s="33" t="n">
        <f aca="false">VLOOKUP(F2,Datos!A1:B5,2,0)</f>
        <v>0.21</v>
      </c>
    </row>
    <row r="13" s="25" customFormat="true" ht="15" hidden="false" customHeight="false" outlineLevel="1" collapsed="false">
      <c r="A13" s="22" t="s">
        <v>60</v>
      </c>
      <c r="B13" s="30" t="n">
        <v>-9000</v>
      </c>
      <c r="C13" s="35" t="s">
        <v>61</v>
      </c>
      <c r="E13" s="22" t="s">
        <v>60</v>
      </c>
      <c r="F13" s="30" t="n">
        <v>-7000</v>
      </c>
      <c r="G13" s="33"/>
    </row>
    <row r="14" s="25" customFormat="true" ht="15" hidden="false" customHeight="false" outlineLevel="1" collapsed="false">
      <c r="A14" s="22" t="s">
        <v>62</v>
      </c>
      <c r="B14" s="36" t="n">
        <f aca="false">IFERROR(-(B13-(B13/(1+VLOOKUP(B2,Datos!A1:B5,2,0)))),0)</f>
        <v>1561.98347107438</v>
      </c>
      <c r="C14" s="33" t="n">
        <f aca="false">VLOOKUP(B2,Datos!A1:B5,2,0)</f>
        <v>0.21</v>
      </c>
      <c r="E14" s="22" t="s">
        <v>62</v>
      </c>
      <c r="F14" s="36" t="n">
        <f aca="false">IFERROR(-(F13-(F13/(1+VLOOKUP(F2,Datos!A1:B5,2,0)))),0)</f>
        <v>1214.87603305785</v>
      </c>
      <c r="G14" s="33" t="n">
        <f aca="false">VLOOKUP(F2,Datos!A1:B5,2,0)</f>
        <v>0.21</v>
      </c>
    </row>
    <row r="15" s="25" customFormat="true" ht="15" hidden="false" customHeight="false" outlineLevel="1" collapsed="false">
      <c r="A15" s="22" t="s">
        <v>2</v>
      </c>
      <c r="B15" s="30" t="n">
        <f aca="false">IFERROR(-(B5*VLOOKUP(B2,Datos!A1:C5,3,0)),0)</f>
        <v>-11750</v>
      </c>
      <c r="C15" s="33" t="n">
        <v>0.045</v>
      </c>
      <c r="E15" s="22" t="s">
        <v>2</v>
      </c>
      <c r="F15" s="30" t="n">
        <f aca="false">IFERROR(-(F5*VLOOKUP(F2,Datos!A1:C5,3,0)),0)</f>
        <v>-1603.17</v>
      </c>
      <c r="G15" s="33" t="n">
        <f aca="false">IFERROR(VLOOKUP(F2,Datos!A1:C5,3,0),0)</f>
        <v>0.047</v>
      </c>
    </row>
    <row r="16" s="25" customFormat="true" ht="15" hidden="false" customHeight="false" outlineLevel="1" collapsed="false">
      <c r="A16" s="22" t="s">
        <v>63</v>
      </c>
      <c r="B16" s="36" t="n">
        <f aca="false">IFERROR(B5+B8+B7+B9+B10+B11+B12+B13+B14+B15,"Error")</f>
        <v>189735.6587263</v>
      </c>
      <c r="C16" s="33"/>
      <c r="E16" s="22" t="s">
        <v>63</v>
      </c>
      <c r="F16" s="36" t="n">
        <f aca="false">IFERROR(F5+F8+F7+F9+F10+F11+F12+F13+F14+F15,"Error")</f>
        <v>19185.6133649407</v>
      </c>
      <c r="G16" s="33"/>
    </row>
    <row r="17" s="25" customFormat="true" ht="15" hidden="false" customHeight="false" outlineLevel="0" collapsed="false">
      <c r="A17" s="22" t="s">
        <v>64</v>
      </c>
      <c r="B17" s="37" t="n">
        <f aca="false">IF(B16="Error","Error",SUM(B5:B15))</f>
        <v>56735.6587263004</v>
      </c>
      <c r="C17" s="38" t="n">
        <f aca="false">B17/(B5+B7)</f>
        <v>0.250771611570248</v>
      </c>
      <c r="E17" s="22" t="s">
        <v>64</v>
      </c>
      <c r="F17" s="37" t="n">
        <f aca="false">IF(F16="Error","Error",SUM(F5:F15))</f>
        <v>4945.71873837785</v>
      </c>
      <c r="G17" s="38" t="n">
        <f aca="false">F17/(F5+F7)</f>
        <v>0.175441796348203</v>
      </c>
      <c r="J17" s="39"/>
    </row>
    <row r="18" s="25" customFormat="true" ht="12.75" hidden="false" customHeight="true" outlineLevel="0" collapsed="false">
      <c r="B18" s="16"/>
      <c r="C18" s="40"/>
    </row>
    <row r="19" s="25" customFormat="true" ht="15" hidden="false" customHeight="false" outlineLevel="0" collapsed="false">
      <c r="A19" s="22" t="s">
        <v>65</v>
      </c>
      <c r="B19" s="41" t="n">
        <f aca="false">-B5/B6</f>
        <v>1.8796992481203</v>
      </c>
      <c r="C19" s="24" t="s">
        <v>66</v>
      </c>
      <c r="E19" s="22" t="s">
        <v>65</v>
      </c>
      <c r="F19" s="41" t="n">
        <f aca="false">-F5/F6</f>
        <v>2.39538289394164</v>
      </c>
      <c r="G19" s="24"/>
    </row>
    <row r="20" customFormat="false" ht="15" hidden="false" customHeight="false" outlineLevel="0" collapsed="false">
      <c r="C20" s="42" t="n">
        <f aca="false">+B5+B6</f>
        <v>117000</v>
      </c>
      <c r="K20" s="25"/>
      <c r="L20" s="25"/>
      <c r="M20" s="25"/>
      <c r="N20" s="25"/>
    </row>
    <row r="21" customFormat="false" ht="15" hidden="false" customHeight="false" outlineLevel="0" collapsed="false">
      <c r="A21" s="0" t="str">
        <f aca="false">VLOOKUP(B2,Datos!A1:D5,4,0)</f>
        <v>https://www.mercadolibre.com.ar/simulador-de-costos?</v>
      </c>
      <c r="C21" s="43"/>
      <c r="I21" s="44"/>
      <c r="K21" s="25"/>
      <c r="L21" s="25"/>
      <c r="M21" s="25"/>
      <c r="N21" s="25"/>
    </row>
    <row r="22" customFormat="false" ht="15" hidden="false" customHeight="false" outlineLevel="0" collapsed="false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customFormat="false" ht="15" hidden="false" customHeight="false" outlineLevel="0" collapsed="false">
      <c r="C23" s="46"/>
      <c r="G23" s="0" t="n">
        <v>3</v>
      </c>
      <c r="I23" s="0" t="n">
        <v>9</v>
      </c>
    </row>
    <row r="24" customFormat="false" ht="15" hidden="false" customHeight="false" outlineLevel="0" collapsed="false">
      <c r="C24" s="43" t="n">
        <f aca="false">+C20/B5</f>
        <v>0.468</v>
      </c>
      <c r="D24" s="47"/>
      <c r="F24" s="0" t="n">
        <v>1</v>
      </c>
      <c r="G24" s="0" t="n">
        <v>6</v>
      </c>
      <c r="I24" s="0" t="n">
        <v>12</v>
      </c>
    </row>
  </sheetData>
  <mergeCells count="2">
    <mergeCell ref="I1:I3"/>
    <mergeCell ref="B22:L22"/>
  </mergeCells>
  <conditionalFormatting sqref="F19:G19">
    <cfRule type="containsText" priority="2" operator="containsText" aboveAverage="0" equalAverage="0" bottom="0" percent="0" rank="0" text="Error" dxfId="0">
      <formula>NOT(ISERROR(SEARCH("Error",F19)))</formula>
    </cfRule>
  </conditionalFormatting>
  <conditionalFormatting sqref="B19:C19">
    <cfRule type="containsText" priority="3" operator="containsText" aboveAverage="0" equalAverage="0" bottom="0" percent="0" rank="0" text="Error" dxfId="0">
      <formula>NOT(ISERROR(SEARCH("Error",B19)))</formula>
    </cfRule>
  </conditionalFormatting>
  <conditionalFormatting sqref="B2:C17 F2:G17">
    <cfRule type="containsText" priority="4" operator="containsText" aboveAverage="0" equalAverage="0" bottom="0" percent="0" rank="0" text="Error" dxfId="0">
      <formula>NOT(ISERROR(SEARCH("Error",B2)))</formula>
    </cfRule>
  </conditionalFormatting>
  <conditionalFormatting sqref="I5">
    <cfRule type="containsText" priority="5" operator="containsText" aboveAverage="0" equalAverage="0" bottom="0" percent="0" rank="0" text="Error" dxfId="0">
      <formula>NOT(ISERROR(SEARCH("Error",I5)))</formula>
    </cfRule>
  </conditionalFormatting>
  <dataValidations count="5">
    <dataValidation allowBlank="true" errorStyle="stop" operator="between" showDropDown="false" showErrorMessage="false" showInputMessage="false" sqref="B21:C21" type="list">
      <formula1>$D$2:$D$17</formula1>
      <formula2>0</formula2>
    </dataValidation>
    <dataValidation allowBlank="true" errorStyle="stop" operator="between" showDropDown="false" showErrorMessage="false" showInputMessage="false" sqref="B2 F2" type="list">
      <formula1>Datos!$A$2:$A$5</formula1>
      <formula2>0</formula2>
    </dataValidation>
    <dataValidation allowBlank="true" errorStyle="stop" operator="between" showDropDown="false" showErrorMessage="false" showInputMessage="false" sqref="B4 F4" type="list">
      <formula1>Datos!$K$2:$K$10</formula1>
      <formula2>0</formula2>
    </dataValidation>
    <dataValidation allowBlank="true" errorStyle="stop" operator="between" showDropDown="false" showErrorMessage="false" showInputMessage="false" sqref="B3 F3" type="list">
      <formula1>Datos!$B$8:$B$29</formula1>
      <formula2>0</formula2>
    </dataValidation>
    <dataValidation allowBlank="true" errorStyle="stop" operator="between" prompt="Elegí 21% o 10,5% según el producto (solo aplica si el país es Argentina)." promptTitle="IVA" showDropDown="false" showErrorMessage="false" showInputMessage="true" sqref="C7:C8 G7:G8" type="list">
      <formula1>Datos!$M$2:$M$3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2" activeCellId="0" sqref="B2"/>
    </sheetView>
  </sheetViews>
  <sheetFormatPr defaultColWidth="11.42578125" defaultRowHeight="15" zeroHeight="false" outlineLevelRow="0" outlineLevelCol="0"/>
  <cols>
    <col collapsed="false" customWidth="true" hidden="false" outlineLevel="0" max="2" min="2" style="0" width="69.29"/>
    <col collapsed="false" customWidth="true" hidden="false" outlineLevel="0" max="3" min="3" style="0" width="15.57"/>
    <col collapsed="false" customWidth="true" hidden="false" outlineLevel="0" max="5" min="5" style="0" width="19.29"/>
    <col collapsed="false" customWidth="true" hidden="false" outlineLevel="0" max="7" min="7" style="0" width="54.29"/>
    <col collapsed="false" customWidth="true" hidden="false" outlineLevel="0" max="10" min="10" style="0" width="24"/>
    <col collapsed="false" customWidth="true" hidden="false" outlineLevel="0" max="28" min="11" style="0" width="15"/>
    <col collapsed="false" customWidth="true" hidden="false" outlineLevel="0" max="30" min="30" style="0" width="15"/>
    <col collapsed="false" customWidth="true" hidden="false" outlineLevel="0" max="31" min="31" style="0" width="40"/>
    <col collapsed="false" customWidth="true" hidden="false" outlineLevel="0" max="37" min="32" style="0" width="15"/>
  </cols>
  <sheetData>
    <row r="1" customFormat="false" ht="45" hidden="false" customHeight="true" outlineLevel="0" collapsed="false">
      <c r="A1" s="48" t="s">
        <v>67</v>
      </c>
      <c r="B1" s="48" t="s">
        <v>68</v>
      </c>
      <c r="C1" s="48" t="s">
        <v>69</v>
      </c>
      <c r="D1" s="48" t="s">
        <v>1</v>
      </c>
      <c r="E1" s="48" t="s">
        <v>70</v>
      </c>
      <c r="F1" s="48" t="s">
        <v>71</v>
      </c>
      <c r="G1" s="48" t="s">
        <v>72</v>
      </c>
      <c r="H1" s="48" t="s">
        <v>73</v>
      </c>
      <c r="J1" s="49" t="s">
        <v>74</v>
      </c>
      <c r="K1" s="49" t="s">
        <v>75</v>
      </c>
      <c r="L1" s="49" t="s">
        <v>76</v>
      </c>
      <c r="M1" s="49" t="s">
        <v>77</v>
      </c>
      <c r="N1" s="49" t="s">
        <v>78</v>
      </c>
      <c r="O1" s="49" t="s">
        <v>79</v>
      </c>
      <c r="P1" s="49" t="s">
        <v>6</v>
      </c>
      <c r="Q1" s="49" t="s">
        <v>80</v>
      </c>
      <c r="R1" s="49" t="s">
        <v>81</v>
      </c>
      <c r="S1" s="49" t="s">
        <v>82</v>
      </c>
      <c r="T1" s="49" t="s">
        <v>83</v>
      </c>
      <c r="U1" s="49" t="s">
        <v>84</v>
      </c>
      <c r="V1" s="49" t="s">
        <v>60</v>
      </c>
      <c r="W1" s="49" t="s">
        <v>85</v>
      </c>
      <c r="X1" s="49" t="s">
        <v>86</v>
      </c>
      <c r="Y1" s="49" t="s">
        <v>87</v>
      </c>
      <c r="Z1" s="49" t="s">
        <v>64</v>
      </c>
      <c r="AA1" s="49" t="s">
        <v>88</v>
      </c>
      <c r="AB1" s="49" t="s">
        <v>65</v>
      </c>
      <c r="AD1" s="50" t="s">
        <v>89</v>
      </c>
      <c r="AE1" s="50" t="s">
        <v>90</v>
      </c>
      <c r="AF1" s="50" t="s">
        <v>91</v>
      </c>
      <c r="AG1" s="50" t="s">
        <v>92</v>
      </c>
      <c r="AH1" s="50" t="s">
        <v>93</v>
      </c>
      <c r="AI1" s="50" t="s">
        <v>94</v>
      </c>
      <c r="AJ1" s="50" t="s">
        <v>95</v>
      </c>
      <c r="AK1" s="50" t="s">
        <v>96</v>
      </c>
    </row>
    <row r="2" customFormat="false" ht="15" hidden="false" customHeight="false" outlineLevel="0" collapsed="false">
      <c r="A2" s="51" t="n">
        <v>1200326</v>
      </c>
      <c r="B2" s="52" t="s">
        <v>97</v>
      </c>
      <c r="C2" s="53" t="n">
        <v>121227.94</v>
      </c>
      <c r="D2" s="54" t="n">
        <v>0.105</v>
      </c>
      <c r="E2" s="55" t="n">
        <f aca="false">+C2*(1+D2)</f>
        <v>133956.8737</v>
      </c>
      <c r="F2" s="22" t="s">
        <v>98</v>
      </c>
      <c r="G2" s="56" t="s">
        <v>99</v>
      </c>
      <c r="H2" s="53" t="n">
        <v>1600</v>
      </c>
      <c r="J2" s="57" t="s">
        <v>38</v>
      </c>
      <c r="K2" s="57" t="s">
        <v>12</v>
      </c>
      <c r="L2" s="58" t="n">
        <v>0.105</v>
      </c>
      <c r="M2" s="59" t="n">
        <v>180000</v>
      </c>
      <c r="N2" s="59" t="n">
        <v>0</v>
      </c>
      <c r="O2" s="60" t="n">
        <f aca="false">IF($M2="","",IFERROR(IF($K2="Clásica",VLOOKUP("Argentina"&amp;$J2,Datos!$C:$D,2,0),VLOOKUP("Argentina"&amp;$J2,Datos!$C:$D,2,0)+VLOOKUP("Argentina"&amp;$K2,Datos!$H:$I,2,0)),"Error"))</f>
        <v>0.14</v>
      </c>
      <c r="P2" s="61" t="n">
        <f aca="false">IF($M2="","",IFERROR(-$M2*$O2,"Error"))</f>
        <v>-25200</v>
      </c>
      <c r="Q2" s="61" t="n">
        <f aca="false">IF($M2="","",IFERROR(-($P2-$P2/(1+Datos!$B$2)),"Error"))</f>
        <v>4373.55371900827</v>
      </c>
      <c r="R2" s="61" t="n">
        <f aca="false">IF($M2="","",IF($M2&lt;=15000,-1000,IF($M2&lt;=25000,-2000,IF($M2&lt;=33000,-2400,0))))</f>
        <v>0</v>
      </c>
      <c r="S2" s="61" t="n">
        <f aca="false">IF($M2="","",-($R2-$R2/(1+Datos!$B$2)))</f>
        <v>-0</v>
      </c>
      <c r="T2" s="61" t="n">
        <f aca="false">IF($M2="","",-$M2/(1+$L2)*$L2)</f>
        <v>-17104.07239819</v>
      </c>
      <c r="U2" s="61" t="n">
        <f aca="false">IF($M2="","",$C2*$D2)</f>
        <v>12728.9337</v>
      </c>
      <c r="V2" s="61" t="n">
        <f aca="false">IF($M2="","",-N($N2))</f>
        <v>-0</v>
      </c>
      <c r="W2" s="61" t="n">
        <f aca="false">IF($M2="","",-($V2-$V2/(1+Datos!$B$2)))</f>
        <v>-0</v>
      </c>
      <c r="X2" s="61" t="n">
        <f aca="false">IF($M2="","",-$M2*Datos!$C$2)</f>
        <v>-8460</v>
      </c>
      <c r="Y2" s="61" t="n">
        <f aca="false">IF($M2="","",IFERROR($M2+$U2+$T2+$P2+$Q2+$R2+$S2+$V2+$W2+$X2,"Error"))</f>
        <v>146338.415020818</v>
      </c>
      <c r="Z2" s="61" t="n">
        <f aca="false">IF($M2="","",IFERROR($Y2-$E2,"Error"))</f>
        <v>12381.5413208182</v>
      </c>
      <c r="AA2" s="60" t="n">
        <f aca="false">IF($M2="","",IFERROR($Z2/($M2+$T2),"Error"))</f>
        <v>0.0760089064416896</v>
      </c>
      <c r="AB2" s="62" t="n">
        <f aca="false">IF($M2="","",IFERROR($M2/$E2,"Error"))</f>
        <v>1.34371604105299</v>
      </c>
      <c r="AD2" s="59" t="n">
        <v>180000</v>
      </c>
      <c r="AE2" s="57" t="s">
        <v>100</v>
      </c>
      <c r="AF2" s="58" t="n">
        <v>0.15</v>
      </c>
      <c r="AG2" s="60" t="n">
        <f aca="false">IF(N($AD2)=0,"",IFERROR(($AD2/(1+$L2)-($AD2*$O2+IF($AD2&lt;=15000,1000,IF($AD2&lt;=25000,2000,IF($AD2&lt;=33000,2400,0)))+N($N2))/(1+Datos!$B$2)-$AD2*Datos!$C$2-$C2)/($AD2/(1+$L2)),"Error"))</f>
        <v>0.0760089064416896</v>
      </c>
      <c r="AH2" s="61" t="n">
        <f aca="false">IF(N($AD2)=0,"",IFERROR($AD2/(1+$L2)*(1-$AF2)-($AD2*$O2+IF($AD2&lt;=15000,1000,IF($AD2&lt;=25000,2000,IF($AD2&lt;=33000,2400,0)))+N($N2))/(1+Datos!$B$2)-$AD2*Datos!$C$2,"Error"))</f>
        <v>109175.092180547</v>
      </c>
      <c r="AI2" s="61" t="n">
        <f aca="false">IF($AH2="","",IFERROR($AH2*(1+$D2),"Error"))</f>
        <v>120638.476859504</v>
      </c>
      <c r="AJ2" s="60" t="n">
        <f aca="false">IF($AH2="","",IFERROR($C2/$AH2-1,"Error"))</f>
        <v>0.110399245640398</v>
      </c>
      <c r="AK2" s="63" t="str">
        <f aca="false">IF($AH2="","",IFERROR(IF($C2&lt;=$AH2,"OK a ese precio","Bajar costo"),"Error"))</f>
        <v>Bajar costo</v>
      </c>
    </row>
    <row r="3" customFormat="false" ht="15" hidden="false" customHeight="false" outlineLevel="0" collapsed="false">
      <c r="A3" s="51" t="n">
        <v>1035606</v>
      </c>
      <c r="B3" s="52" t="s">
        <v>101</v>
      </c>
      <c r="C3" s="53" t="n">
        <v>186919.36</v>
      </c>
      <c r="D3" s="54" t="n">
        <v>0.105</v>
      </c>
      <c r="E3" s="55" t="n">
        <f aca="false">+C3*(1+D3)</f>
        <v>206545.8928</v>
      </c>
      <c r="F3" s="22" t="s">
        <v>98</v>
      </c>
      <c r="G3" s="56" t="s">
        <v>99</v>
      </c>
      <c r="H3" s="53" t="n">
        <v>1600</v>
      </c>
      <c r="J3" s="57" t="s">
        <v>38</v>
      </c>
      <c r="K3" s="57" t="s">
        <v>12</v>
      </c>
      <c r="L3" s="58" t="n">
        <v>0.105</v>
      </c>
      <c r="M3" s="59" t="n">
        <v>308889</v>
      </c>
      <c r="N3" s="59" t="n">
        <v>0</v>
      </c>
      <c r="O3" s="60" t="n">
        <f aca="false">IF($M3="","",IFERROR(IF($K3="Clásica",VLOOKUP("Argentina"&amp;$J3,Datos!$C:$D,2,0),VLOOKUP("Argentina"&amp;$J3,Datos!$C:$D,2,0)+VLOOKUP("Argentina"&amp;$K3,Datos!$H:$I,2,0)),"Error"))</f>
        <v>0.14</v>
      </c>
      <c r="P3" s="61" t="n">
        <f aca="false">IF($M3="","",IFERROR(-$M3*$O3,"Error"))</f>
        <v>-43244.46</v>
      </c>
      <c r="Q3" s="61" t="n">
        <f aca="false">IF($M3="","",IFERROR(-($P3-$P3/(1+Datos!$B$2)),"Error"))</f>
        <v>7505.23685950413</v>
      </c>
      <c r="R3" s="61" t="n">
        <f aca="false">IF($M3="","",IF($M3&lt;=15000,-1000,IF($M3&lt;=25000,-2000,IF($M3&lt;=33000,-2400,0))))</f>
        <v>0</v>
      </c>
      <c r="S3" s="61" t="n">
        <f aca="false">IF($M3="","",-($R3-$R3/(1+Datos!$B$2)))</f>
        <v>-0</v>
      </c>
      <c r="T3" s="61" t="n">
        <f aca="false">IF($M3="","",-$M3/(1+$L3)*$L3)</f>
        <v>-29351.443438914</v>
      </c>
      <c r="U3" s="61" t="n">
        <f aca="false">IF($M3="","",$C3*$D3)</f>
        <v>19626.5328</v>
      </c>
      <c r="V3" s="61" t="n">
        <f aca="false">IF($M3="","",-N($N3))</f>
        <v>-0</v>
      </c>
      <c r="W3" s="61" t="n">
        <f aca="false">IF($M3="","",-($V3-$V3/(1+Datos!$B$2)))</f>
        <v>-0</v>
      </c>
      <c r="X3" s="61" t="n">
        <f aca="false">IF($M3="","",-$M3*Datos!$C$2)</f>
        <v>-14517.783</v>
      </c>
      <c r="Y3" s="61" t="n">
        <f aca="false">IF($M3="","",IFERROR($M3+$U3+$T3+$P3+$Q3+$R3+$S3+$V3+$W3+$X3,"Error"))</f>
        <v>248907.08322059</v>
      </c>
      <c r="Z3" s="61" t="n">
        <f aca="false">IF($M3="","",IFERROR($Y3-$E3,"Error"))</f>
        <v>42361.1904205901</v>
      </c>
      <c r="AA3" s="60" t="n">
        <f aca="false">IF($M3="","",IFERROR($Z3/($M3+$T3),"Error"))</f>
        <v>0.151540247191554</v>
      </c>
      <c r="AB3" s="62" t="n">
        <f aca="false">IF($M3="","",IFERROR($M3/$E3,"Error"))</f>
        <v>1.49549814722823</v>
      </c>
      <c r="AD3" s="59" t="n">
        <v>308889</v>
      </c>
      <c r="AE3" s="57" t="s">
        <v>102</v>
      </c>
      <c r="AF3" s="58" t="n">
        <v>0.15</v>
      </c>
      <c r="AG3" s="60" t="n">
        <f aca="false">IF(N($AD3)=0,"",IFERROR(($AD3/(1+$L3)-($AD3*$O3+IF($AD3&lt;=15000,1000,IF($AD3&lt;=25000,2000,IF($AD3&lt;=33000,2400,0)))+N($N3))/(1+Datos!$B$2)-$AD3*Datos!$C$2-$C3)/($AD3/(1+$L3)),"Error"))</f>
        <v>0.151540247191554</v>
      </c>
      <c r="AH3" s="61" t="n">
        <f aca="false">IF(N($AD3)=0,"",IFERROR($AD3/(1+$L3)*(1-$AF3)-($AD3*$O3+IF($AD3&lt;=15000,1000,IF($AD3&lt;=25000,2000,IF($AD3&lt;=33000,2400,0)))+N($N3))/(1+Datos!$B$2)-$AD3*Datos!$C$2,"Error"))</f>
        <v>187349.916936427</v>
      </c>
      <c r="AI3" s="61" t="n">
        <f aca="false">IF($AH3="","",IFERROR($AH3*(1+$D3),"Error"))</f>
        <v>207021.658214752</v>
      </c>
      <c r="AJ3" s="60" t="n">
        <f aca="false">IF($AH3="","",IFERROR($C3/$AH3-1,"Error"))</f>
        <v>-0.00229814319359045</v>
      </c>
      <c r="AK3" s="63" t="str">
        <f aca="false">IF($AH3="","",IFERROR(IF($C3&lt;=$AH3,"OK a ese precio","Bajar costo"),"Error"))</f>
        <v>OK a ese precio</v>
      </c>
    </row>
    <row r="4" customFormat="false" ht="15" hidden="false" customHeight="false" outlineLevel="0" collapsed="false">
      <c r="A4" s="51" t="n">
        <v>1035604</v>
      </c>
      <c r="B4" s="52" t="s">
        <v>103</v>
      </c>
      <c r="C4" s="53" t="n">
        <v>144526.25</v>
      </c>
      <c r="D4" s="54" t="n">
        <v>0.105</v>
      </c>
      <c r="E4" s="55" t="n">
        <f aca="false">+C4*(1+D4)</f>
        <v>159701.50625</v>
      </c>
      <c r="F4" s="22" t="s">
        <v>98</v>
      </c>
      <c r="G4" s="56" t="s">
        <v>99</v>
      </c>
      <c r="H4" s="53" t="n">
        <v>1600</v>
      </c>
      <c r="J4" s="57" t="s">
        <v>38</v>
      </c>
      <c r="K4" s="57" t="s">
        <v>12</v>
      </c>
      <c r="L4" s="58" t="n">
        <v>0.105</v>
      </c>
      <c r="M4" s="59" t="n">
        <v>195000</v>
      </c>
      <c r="N4" s="59" t="n">
        <v>0</v>
      </c>
      <c r="O4" s="60" t="n">
        <f aca="false">IF($M4="","",IFERROR(IF($K4="Clásica",VLOOKUP("Argentina"&amp;$J4,Datos!$C:$D,2,0),VLOOKUP("Argentina"&amp;$J4,Datos!$C:$D,2,0)+VLOOKUP("Argentina"&amp;$K4,Datos!$H:$I,2,0)),"Error"))</f>
        <v>0.14</v>
      </c>
      <c r="P4" s="61" t="n">
        <f aca="false">IF($M4="","",IFERROR(-$M4*$O4,"Error"))</f>
        <v>-27300</v>
      </c>
      <c r="Q4" s="61" t="n">
        <f aca="false">IF($M4="","",IFERROR(-($P4-$P4/(1+Datos!$B$2)),"Error"))</f>
        <v>4738.01652892562</v>
      </c>
      <c r="R4" s="61" t="n">
        <f aca="false">IF($M4="","",IF($M4&lt;=15000,-1000,IF($M4&lt;=25000,-2000,IF($M4&lt;=33000,-2400,0))))</f>
        <v>0</v>
      </c>
      <c r="S4" s="61" t="n">
        <f aca="false">IF($M4="","",-($R4-$R4/(1+Datos!$B$2)))</f>
        <v>-0</v>
      </c>
      <c r="T4" s="61" t="n">
        <f aca="false">IF($M4="","",-$M4/(1+$L4)*$L4)</f>
        <v>-18529.4117647059</v>
      </c>
      <c r="U4" s="61" t="n">
        <f aca="false">IF($M4="","",$C4*$D4)</f>
        <v>15175.25625</v>
      </c>
      <c r="V4" s="61" t="n">
        <f aca="false">IF($M4="","",-N($N4))</f>
        <v>-0</v>
      </c>
      <c r="W4" s="61" t="n">
        <f aca="false">IF($M4="","",-($V4-$V4/(1+Datos!$B$2)))</f>
        <v>-0</v>
      </c>
      <c r="X4" s="61" t="n">
        <f aca="false">IF($M4="","",-$M4*Datos!$C$2)</f>
        <v>-9165</v>
      </c>
      <c r="Y4" s="61" t="n">
        <f aca="false">IF($M4="","",IFERROR($M4+$U4+$T4+$P4+$Q4+$R4+$S4+$V4+$W4+$X4,"Error"))</f>
        <v>159918.86101422</v>
      </c>
      <c r="Z4" s="61" t="n">
        <f aca="false">IF($M4="","",IFERROR($Y4-$E4,"Error"))</f>
        <v>217.354764219752</v>
      </c>
      <c r="AA4" s="60" t="n">
        <f aca="false">IF($M4="","",IFERROR($Z4/($M4+$T4),"Error"))</f>
        <v>0.00123167699724526</v>
      </c>
      <c r="AB4" s="62" t="n">
        <f aca="false">IF($M4="","",IFERROR($M4/$E4,"Error"))</f>
        <v>1.22102793254024</v>
      </c>
      <c r="AD4" s="59" t="n">
        <v>195000</v>
      </c>
      <c r="AE4" s="57" t="s">
        <v>104</v>
      </c>
      <c r="AF4" s="58" t="n">
        <v>0.15</v>
      </c>
      <c r="AG4" s="60" t="n">
        <f aca="false">IF(N($AD4)=0,"",IFERROR(($AD4/(1+$L4)-($AD4*$O4+IF($AD4&lt;=15000,1000,IF($AD4&lt;=25000,2000,IF($AD4&lt;=33000,2400,0)))+N($N4))/(1+Datos!$B$2)-$AD4*Datos!$C$2-$C4)/($AD4/(1+$L4)),"Error"))</f>
        <v>0.00123167699724526</v>
      </c>
      <c r="AH4" s="61" t="n">
        <f aca="false">IF(N($AD4)=0,"",IFERROR($AD4/(1+$L4)*(1-$AF4)-($AD4*$O4+IF($AD4&lt;=15000,1000,IF($AD4&lt;=25000,2000,IF($AD4&lt;=33000,2400,0)))+N($N4))/(1+Datos!$B$2)-$AD4*Datos!$C$2,"Error"))</f>
        <v>118273.016528926</v>
      </c>
      <c r="AI4" s="61" t="n">
        <f aca="false">IF($AH4="","",IFERROR($AH4*(1+$D4),"Error"))</f>
        <v>130691.683264463</v>
      </c>
      <c r="AJ4" s="60" t="n">
        <f aca="false">IF($AH4="","",IFERROR($C4/$AH4-1,"Error"))</f>
        <v>0.22197145419601</v>
      </c>
      <c r="AK4" s="63" t="str">
        <f aca="false">IF($AH4="","",IFERROR(IF($C4&lt;=$AH4,"OK a ese precio","Bajar costo"),"Error"))</f>
        <v>Bajar costo</v>
      </c>
    </row>
    <row r="5" customFormat="false" ht="15" hidden="false" customHeight="false" outlineLevel="0" collapsed="false">
      <c r="A5" s="51" t="s">
        <v>105</v>
      </c>
      <c r="B5" s="52" t="s">
        <v>106</v>
      </c>
      <c r="C5" s="53" t="n">
        <v>125549.76</v>
      </c>
      <c r="D5" s="54" t="n">
        <v>0.21</v>
      </c>
      <c r="E5" s="55" t="n">
        <f aca="false">+C5*(1+D5)</f>
        <v>151915.2096</v>
      </c>
      <c r="F5" s="22" t="s">
        <v>98</v>
      </c>
      <c r="G5" s="56" t="s">
        <v>99</v>
      </c>
      <c r="H5" s="53" t="n">
        <v>1600</v>
      </c>
      <c r="J5" s="57" t="s">
        <v>38</v>
      </c>
      <c r="K5" s="57" t="s">
        <v>12</v>
      </c>
      <c r="L5" s="58" t="n">
        <v>0.21</v>
      </c>
      <c r="M5" s="59" t="n">
        <v>173000</v>
      </c>
      <c r="N5" s="59" t="n">
        <v>0</v>
      </c>
      <c r="O5" s="60" t="n">
        <f aca="false">IF($M5="","",IFERROR(IF($K5="Clásica",VLOOKUP("Argentina"&amp;$J5,Datos!$C:$D,2,0),VLOOKUP("Argentina"&amp;$J5,Datos!$C:$D,2,0)+VLOOKUP("Argentina"&amp;$K5,Datos!$H:$I,2,0)),"Error"))</f>
        <v>0.14</v>
      </c>
      <c r="P5" s="61" t="n">
        <f aca="false">IF($M5="","",IFERROR(-$M5*$O5,"Error"))</f>
        <v>-24220</v>
      </c>
      <c r="Q5" s="61" t="n">
        <f aca="false">IF($M5="","",IFERROR(-($P5-$P5/(1+Datos!$B$2)),"Error"))</f>
        <v>4203.47107438017</v>
      </c>
      <c r="R5" s="61" t="n">
        <f aca="false">IF($M5="","",IF($M5&lt;=15000,-1000,IF($M5&lt;=25000,-2000,IF($M5&lt;=33000,-2400,0))))</f>
        <v>0</v>
      </c>
      <c r="S5" s="61" t="n">
        <f aca="false">IF($M5="","",-($R5-$R5/(1+Datos!$B$2)))</f>
        <v>-0</v>
      </c>
      <c r="T5" s="61" t="n">
        <f aca="false">IF($M5="","",-$M5/(1+$L5)*$L5)</f>
        <v>-30024.7933884298</v>
      </c>
      <c r="U5" s="61" t="n">
        <f aca="false">IF($M5="","",$C5*$D5)</f>
        <v>26365.4496</v>
      </c>
      <c r="V5" s="61" t="n">
        <f aca="false">IF($M5="","",-N($N5))</f>
        <v>-0</v>
      </c>
      <c r="W5" s="61" t="n">
        <f aca="false">IF($M5="","",-($V5-$V5/(1+Datos!$B$2)))</f>
        <v>-0</v>
      </c>
      <c r="X5" s="61" t="n">
        <f aca="false">IF($M5="","",-$M5*Datos!$C$2)</f>
        <v>-8131</v>
      </c>
      <c r="Y5" s="61" t="n">
        <f aca="false">IF($M5="","",IFERROR($M5+$U5+$T5+$P5+$Q5+$R5+$S5+$V5+$W5+$X5,"Error"))</f>
        <v>141193.12728595</v>
      </c>
      <c r="Z5" s="61" t="n">
        <f aca="false">IF($M5="","",IFERROR($Y5-$E5,"Error"))</f>
        <v>-10722.0823140496</v>
      </c>
      <c r="AA5" s="60" t="n">
        <f aca="false">IF($M5="","",IFERROR($Z5/($M5+$T5),"Error"))</f>
        <v>-0.0749925988439307</v>
      </c>
      <c r="AB5" s="62" t="n">
        <f aca="false">IF($M5="","",IFERROR($M5/$E5,"Error"))</f>
        <v>1.13879314951753</v>
      </c>
      <c r="AD5" s="59" t="n">
        <v>173000</v>
      </c>
      <c r="AE5" s="57" t="s">
        <v>107</v>
      </c>
      <c r="AF5" s="58" t="n">
        <v>0.15</v>
      </c>
      <c r="AG5" s="60" t="n">
        <f aca="false">IF(N($AD5)=0,"",IFERROR(($AD5/(1+$L5)-($AD5*$O5+IF($AD5&lt;=15000,1000,IF($AD5&lt;=25000,2000,IF($AD5&lt;=33000,2400,0)))+N($N5))/(1+Datos!$B$2)-$AD5*Datos!$C$2-$C5)/($AD5/(1+$L5)),"Error"))</f>
        <v>-0.0749925988439306</v>
      </c>
      <c r="AH5" s="61" t="n">
        <f aca="false">IF(N($AD5)=0,"",IFERROR($AD5/(1+$L5)*(1-$AF5)-($AD5*$O5+IF($AD5&lt;=15000,1000,IF($AD5&lt;=25000,2000,IF($AD5&lt;=33000,2400,0)))+N($N5))/(1+Datos!$B$2)-$AD5*Datos!$C$2,"Error"))</f>
        <v>93381.3966942149</v>
      </c>
      <c r="AI5" s="61" t="n">
        <f aca="false">IF($AH5="","",IFERROR($AH5*(1+$D5),"Error"))</f>
        <v>112991.49</v>
      </c>
      <c r="AJ5" s="60" t="n">
        <f aca="false">IF($AH5="","",IFERROR($C5/$AH5-1,"Error"))</f>
        <v>0.344483638546584</v>
      </c>
      <c r="AK5" s="63" t="str">
        <f aca="false">IF($AH5="","",IFERROR(IF($C5&lt;=$AH5,"OK a ese precio","Bajar costo"),"Error"))</f>
        <v>Bajar costo</v>
      </c>
    </row>
    <row r="6" customFormat="false" ht="15" hidden="false" customHeight="false" outlineLevel="0" collapsed="false">
      <c r="A6" s="51" t="s">
        <v>108</v>
      </c>
      <c r="B6" s="52" t="s">
        <v>109</v>
      </c>
      <c r="C6" s="53" t="n">
        <v>350340.9</v>
      </c>
      <c r="D6" s="54" t="n">
        <v>0.21</v>
      </c>
      <c r="E6" s="55" t="n">
        <f aca="false">+C6*(1+D6)</f>
        <v>423912.489</v>
      </c>
      <c r="F6" s="22" t="s">
        <v>110</v>
      </c>
      <c r="G6" s="56" t="s">
        <v>111</v>
      </c>
      <c r="H6" s="53" t="n">
        <v>1565</v>
      </c>
      <c r="J6" s="57" t="s">
        <v>38</v>
      </c>
      <c r="K6" s="57" t="s">
        <v>12</v>
      </c>
      <c r="L6" s="58" t="n">
        <v>0.21</v>
      </c>
      <c r="M6" s="59" t="n">
        <v>480000</v>
      </c>
      <c r="N6" s="59" t="n">
        <v>0</v>
      </c>
      <c r="O6" s="60" t="n">
        <f aca="false">IF($M6="","",IFERROR(IF($K6="Clásica",VLOOKUP("Argentina"&amp;$J6,Datos!$C:$D,2,0),VLOOKUP("Argentina"&amp;$J6,Datos!$C:$D,2,0)+VLOOKUP("Argentina"&amp;$K6,Datos!$H:$I,2,0)),"Error"))</f>
        <v>0.14</v>
      </c>
      <c r="P6" s="61" t="n">
        <f aca="false">IF($M6="","",IFERROR(-$M6*$O6,"Error"))</f>
        <v>-67200</v>
      </c>
      <c r="Q6" s="61" t="n">
        <f aca="false">IF($M6="","",IFERROR(-($P6-$P6/(1+Datos!$B$2)),"Error"))</f>
        <v>11662.8099173554</v>
      </c>
      <c r="R6" s="61" t="n">
        <f aca="false">IF($M6="","",IF($M6&lt;=15000,-1000,IF($M6&lt;=25000,-2000,IF($M6&lt;=33000,-2400,0))))</f>
        <v>0</v>
      </c>
      <c r="S6" s="61" t="n">
        <f aca="false">IF($M6="","",-($R6-$R6/(1+Datos!$B$2)))</f>
        <v>-0</v>
      </c>
      <c r="T6" s="61" t="n">
        <f aca="false">IF($M6="","",-$M6/(1+$L6)*$L6)</f>
        <v>-83305.7851239669</v>
      </c>
      <c r="U6" s="61" t="n">
        <f aca="false">IF($M6="","",$C6*$D6)</f>
        <v>73571.589</v>
      </c>
      <c r="V6" s="61" t="n">
        <f aca="false">IF($M6="","",-N($N6))</f>
        <v>-0</v>
      </c>
      <c r="W6" s="61" t="n">
        <f aca="false">IF($M6="","",-($V6-$V6/(1+Datos!$B$2)))</f>
        <v>-0</v>
      </c>
      <c r="X6" s="61" t="n">
        <f aca="false">IF($M6="","",-$M6*Datos!$C$2)</f>
        <v>-22560</v>
      </c>
      <c r="Y6" s="61" t="n">
        <f aca="false">IF($M6="","",IFERROR($M6+$U6+$T6+$P6+$Q6+$R6+$S6+$V6+$W6+$X6,"Error"))</f>
        <v>392168.613793389</v>
      </c>
      <c r="Z6" s="61" t="n">
        <f aca="false">IF($M6="","",IFERROR($Y6-$E6,"Error"))</f>
        <v>-31743.8752066115</v>
      </c>
      <c r="AA6" s="60" t="n">
        <f aca="false">IF($M6="","",IFERROR($Z6/($M6+$T6),"Error"))</f>
        <v>-0.0800210187499999</v>
      </c>
      <c r="AB6" s="62" t="n">
        <f aca="false">IF($M6="","",IFERROR($M6/$E6,"Error"))</f>
        <v>1.13230917336809</v>
      </c>
      <c r="AD6" s="59" t="n">
        <v>480000</v>
      </c>
      <c r="AE6" s="57" t="s">
        <v>112</v>
      </c>
      <c r="AF6" s="58" t="n">
        <v>0.15</v>
      </c>
      <c r="AG6" s="60" t="n">
        <f aca="false">IF(N($AD6)=0,"",IFERROR(($AD6/(1+$L6)-($AD6*$O6+IF($AD6&lt;=15000,1000,IF($AD6&lt;=25000,2000,IF($AD6&lt;=33000,2400,0)))+N($N6))/(1+Datos!$B$2)-$AD6*Datos!$C$2-$C6)/($AD6/(1+$L6)),"Error"))</f>
        <v>-0.08002101875</v>
      </c>
      <c r="AH6" s="61" t="n">
        <f aca="false">IF(N($AD6)=0,"",IFERROR($AD6/(1+$L6)*(1-$AF6)-($AD6*$O6+IF($AD6&lt;=15000,1000,IF($AD6&lt;=25000,2000,IF($AD6&lt;=33000,2400,0)))+N($N6))/(1+Datos!$B$2)-$AD6*Datos!$C$2,"Error"))</f>
        <v>259092.892561984</v>
      </c>
      <c r="AI6" s="61" t="n">
        <f aca="false">IF($AH6="","",IFERROR($AH6*(1+$D6),"Error"))</f>
        <v>313502.4</v>
      </c>
      <c r="AJ6" s="60" t="n">
        <f aca="false">IF($AH6="","",IFERROR($C6/$AH6-1,"Error"))</f>
        <v>0.352182595731325</v>
      </c>
      <c r="AK6" s="63" t="str">
        <f aca="false">IF($AH6="","",IFERROR(IF($C6&lt;=$AH6,"OK a ese precio","Bajar costo"),"Error"))</f>
        <v>Bajar costo</v>
      </c>
    </row>
    <row r="7" customFormat="false" ht="15" hidden="false" customHeight="false" outlineLevel="0" collapsed="false">
      <c r="A7" s="51" t="s">
        <v>113</v>
      </c>
      <c r="B7" s="52" t="s">
        <v>114</v>
      </c>
      <c r="C7" s="53" t="n">
        <v>441106</v>
      </c>
      <c r="D7" s="54" t="n">
        <v>0.21</v>
      </c>
      <c r="E7" s="55" t="n">
        <f aca="false">+C7*(1+D7)</f>
        <v>533738.26</v>
      </c>
      <c r="F7" s="22" t="s">
        <v>110</v>
      </c>
      <c r="G7" s="56" t="s">
        <v>111</v>
      </c>
      <c r="H7" s="53" t="n">
        <v>1565</v>
      </c>
      <c r="J7" s="57" t="s">
        <v>38</v>
      </c>
      <c r="K7" s="57" t="s">
        <v>12</v>
      </c>
      <c r="L7" s="58" t="n">
        <v>0.21</v>
      </c>
      <c r="M7" s="59" t="n">
        <v>750000</v>
      </c>
      <c r="N7" s="59" t="n">
        <v>0</v>
      </c>
      <c r="O7" s="60" t="n">
        <f aca="false">IF($M7="","",IFERROR(IF($K7="Clásica",VLOOKUP("Argentina"&amp;$J7,Datos!$C:$D,2,0),VLOOKUP("Argentina"&amp;$J7,Datos!$C:$D,2,0)+VLOOKUP("Argentina"&amp;$K7,Datos!$H:$I,2,0)),"Error"))</f>
        <v>0.14</v>
      </c>
      <c r="P7" s="61" t="n">
        <f aca="false">IF($M7="","",IFERROR(-$M7*$O7,"Error"))</f>
        <v>-105000</v>
      </c>
      <c r="Q7" s="61" t="n">
        <f aca="false">IF($M7="","",IFERROR(-($P7-$P7/(1+Datos!$B$2)),"Error"))</f>
        <v>18223.1404958678</v>
      </c>
      <c r="R7" s="61" t="n">
        <f aca="false">IF($M7="","",IF($M7&lt;=15000,-1000,IF($M7&lt;=25000,-2000,IF($M7&lt;=33000,-2400,0))))</f>
        <v>0</v>
      </c>
      <c r="S7" s="61" t="n">
        <f aca="false">IF($M7="","",-($R7-$R7/(1+Datos!$B$2)))</f>
        <v>-0</v>
      </c>
      <c r="T7" s="61" t="n">
        <f aca="false">IF($M7="","",-$M7/(1+$L7)*$L7)</f>
        <v>-130165.289256198</v>
      </c>
      <c r="U7" s="61" t="n">
        <f aca="false">IF($M7="","",$C7*$D7)</f>
        <v>92632.26</v>
      </c>
      <c r="V7" s="61" t="n">
        <f aca="false">IF($M7="","",-N($N7))</f>
        <v>-0</v>
      </c>
      <c r="W7" s="61" t="n">
        <f aca="false">IF($M7="","",-($V7-$V7/(1+Datos!$B$2)))</f>
        <v>-0</v>
      </c>
      <c r="X7" s="61" t="n">
        <f aca="false">IF($M7="","",-$M7*Datos!$C$2)</f>
        <v>-35250</v>
      </c>
      <c r="Y7" s="61" t="n">
        <f aca="false">IF($M7="","",IFERROR($M7+$U7+$T7+$P7+$Q7+$R7+$S7+$V7+$W7+$X7,"Error"))</f>
        <v>590440.11123967</v>
      </c>
      <c r="Z7" s="61" t="n">
        <f aca="false">IF($M7="","",IFERROR($Y7-$E7,"Error"))</f>
        <v>56701.8512396695</v>
      </c>
      <c r="AA7" s="60" t="n">
        <f aca="false">IF($M7="","",IFERROR($Z7/($M7+$T7),"Error"))</f>
        <v>0.0914789866666668</v>
      </c>
      <c r="AB7" s="62" t="n">
        <f aca="false">IF($M7="","",IFERROR($M7/$E7,"Error"))</f>
        <v>1.40518313227161</v>
      </c>
      <c r="AD7" s="59" t="n">
        <v>750000</v>
      </c>
      <c r="AE7" s="57" t="s">
        <v>115</v>
      </c>
      <c r="AF7" s="58" t="n">
        <v>0.15</v>
      </c>
      <c r="AG7" s="60" t="n">
        <f aca="false">IF(N($AD7)=0,"",IFERROR(($AD7/(1+$L7)-($AD7*$O7+IF($AD7&lt;=15000,1000,IF($AD7&lt;=25000,2000,IF($AD7&lt;=33000,2400,0)))+N($N7))/(1+Datos!$B$2)-$AD7*Datos!$C$2-$C7)/($AD7/(1+$L7)),"Error"))</f>
        <v>0.0914789866666666</v>
      </c>
      <c r="AH7" s="61" t="n">
        <f aca="false">IF(N($AD7)=0,"",IFERROR($AD7/(1+$L7)*(1-$AF7)-($AD7*$O7+IF($AD7&lt;=15000,1000,IF($AD7&lt;=25000,2000,IF($AD7&lt;=33000,2400,0)))+N($N7))/(1+Datos!$B$2)-$AD7*Datos!$C$2,"Error"))</f>
        <v>404832.644628099</v>
      </c>
      <c r="AI7" s="61" t="n">
        <f aca="false">IF($AH7="","",IFERROR($AH7*(1+$D7),"Error"))</f>
        <v>489847.5</v>
      </c>
      <c r="AJ7" s="60" t="n">
        <f aca="false">IF($AH7="","",IFERROR($C7/$AH7-1,"Error"))</f>
        <v>0.089600865575511</v>
      </c>
      <c r="AK7" s="63" t="str">
        <f aca="false">IF($AH7="","",IFERROR(IF($C7&lt;=$AH7,"OK a ese precio","Bajar costo"),"Error"))</f>
        <v>Bajar costo</v>
      </c>
    </row>
    <row r="8" customFormat="false" ht="15" hidden="false" customHeight="false" outlineLevel="0" collapsed="false">
      <c r="A8" s="51" t="s">
        <v>116</v>
      </c>
      <c r="B8" s="52" t="s">
        <v>117</v>
      </c>
      <c r="C8" s="53" t="n">
        <v>15566.49</v>
      </c>
      <c r="D8" s="54" t="n">
        <v>0.21</v>
      </c>
      <c r="E8" s="55" t="n">
        <f aca="false">+C8*(1+D8)</f>
        <v>18835.4529</v>
      </c>
      <c r="F8" s="22" t="s">
        <v>110</v>
      </c>
      <c r="G8" s="56" t="s">
        <v>111</v>
      </c>
      <c r="H8" s="53" t="n">
        <v>1565</v>
      </c>
      <c r="J8" s="57" t="s">
        <v>38</v>
      </c>
      <c r="K8" s="57" t="s">
        <v>12</v>
      </c>
      <c r="L8" s="58" t="n">
        <v>0.21</v>
      </c>
      <c r="M8" s="59"/>
      <c r="N8" s="59" t="n">
        <v>0</v>
      </c>
      <c r="O8" s="60" t="str">
        <f aca="false">IF($M8="","",IFERROR(IF($K8="Clásica",VLOOKUP("Argentina"&amp;$J8,Datos!$C:$D,2,0),VLOOKUP("Argentina"&amp;$J8,Datos!$C:$D,2,0)+VLOOKUP("Argentina"&amp;$K8,Datos!$H:$I,2,0)),"Error"))</f>
        <v/>
      </c>
      <c r="P8" s="61" t="str">
        <f aca="false">IF($M8="","",IFERROR(-$M8*$O8,"Error"))</f>
        <v/>
      </c>
      <c r="Q8" s="61" t="str">
        <f aca="false">IF($M8="","",IFERROR(-($P8-$P8/(1+Datos!$B$2)),"Error"))</f>
        <v/>
      </c>
      <c r="R8" s="61" t="str">
        <f aca="false">IF($M8="","",IF($M8&lt;=15000,-1000,IF($M8&lt;=25000,-2000,IF($M8&lt;=33000,-2400,0))))</f>
        <v/>
      </c>
      <c r="S8" s="61" t="str">
        <f aca="false">IF($M8="","",-($R8-$R8/(1+Datos!$B$2)))</f>
        <v/>
      </c>
      <c r="T8" s="61" t="str">
        <f aca="false">IF($M8="","",-$M8/(1+$L8)*$L8)</f>
        <v/>
      </c>
      <c r="U8" s="61" t="str">
        <f aca="false">IF($M8="","",$C8*$D8)</f>
        <v/>
      </c>
      <c r="V8" s="61" t="str">
        <f aca="false">IF($M8="","",-N($N8))</f>
        <v/>
      </c>
      <c r="W8" s="61" t="str">
        <f aca="false">IF($M8="","",-($V8-$V8/(1+Datos!$B$2)))</f>
        <v/>
      </c>
      <c r="X8" s="61" t="str">
        <f aca="false">IF($M8="","",-$M8*Datos!$C$2)</f>
        <v/>
      </c>
      <c r="Y8" s="61" t="str">
        <f aca="false">IF($M8="","",IFERROR($M8+$U8+$T8+$P8+$Q8+$R8+$S8+$V8+$W8+$X8,"Error"))</f>
        <v/>
      </c>
      <c r="Z8" s="61" t="str">
        <f aca="false">IF($M8="","",IFERROR($Y8-$E8,"Error"))</f>
        <v/>
      </c>
      <c r="AA8" s="60" t="str">
        <f aca="false">IF($M8="","",IFERROR($Z8/($M8+$T8),"Error"))</f>
        <v/>
      </c>
      <c r="AB8" s="62" t="str">
        <f aca="false">IF($M8="","",IFERROR($M8/$E8,"Error"))</f>
        <v/>
      </c>
      <c r="AD8" s="59"/>
      <c r="AE8" s="57" t="s">
        <v>118</v>
      </c>
      <c r="AF8" s="58" t="n">
        <v>0.15</v>
      </c>
      <c r="AG8" s="60" t="str">
        <f aca="false">IF(N($AD8)=0,"",IFERROR(($AD8/(1+$L8)-($AD8*$O8+IF($AD8&lt;=15000,1000,IF($AD8&lt;=25000,2000,IF($AD8&lt;=33000,2400,0)))+N($N8))/(1+Datos!$B$2)-$AD8*Datos!$C$2-$C8)/($AD8/(1+$L8)),"Error"))</f>
        <v/>
      </c>
      <c r="AH8" s="61" t="str">
        <f aca="false">IF(N($AD8)=0,"",IFERROR($AD8/(1+$L8)*(1-$AF8)-($AD8*$O8+IF($AD8&lt;=15000,1000,IF($AD8&lt;=25000,2000,IF($AD8&lt;=33000,2400,0)))+N($N8))/(1+Datos!$B$2)-$AD8*Datos!$C$2,"Error"))</f>
        <v/>
      </c>
      <c r="AI8" s="61" t="str">
        <f aca="false">IF($AH8="","",IFERROR($AH8*(1+$D8),"Error"))</f>
        <v/>
      </c>
      <c r="AJ8" s="60" t="str">
        <f aca="false">IF($AH8="","",IFERROR($C8/$AH8-1,"Error"))</f>
        <v/>
      </c>
      <c r="AK8" s="63" t="str">
        <f aca="false">IF($AH8="","",IFERROR(IF($C8&lt;=$AH8,"OK a ese precio","Bajar costo"),"Error"))</f>
        <v/>
      </c>
    </row>
    <row r="9" customFormat="false" ht="15" hidden="false" customHeight="false" outlineLevel="0" collapsed="false">
      <c r="A9" s="51" t="s">
        <v>119</v>
      </c>
      <c r="B9" s="52" t="s">
        <v>120</v>
      </c>
      <c r="C9" s="53" t="n">
        <v>12320</v>
      </c>
      <c r="D9" s="54" t="n">
        <v>0.21</v>
      </c>
      <c r="E9" s="55" t="n">
        <f aca="false">+C9*(1+D9)</f>
        <v>14907.2</v>
      </c>
      <c r="F9" s="22" t="s">
        <v>110</v>
      </c>
      <c r="G9" s="56" t="s">
        <v>111</v>
      </c>
      <c r="H9" s="53" t="n">
        <v>1565</v>
      </c>
      <c r="J9" s="57" t="s">
        <v>38</v>
      </c>
      <c r="K9" s="57" t="s">
        <v>12</v>
      </c>
      <c r="L9" s="58" t="n">
        <v>0.21</v>
      </c>
      <c r="M9" s="59"/>
      <c r="N9" s="59" t="n">
        <v>0</v>
      </c>
      <c r="O9" s="60" t="str">
        <f aca="false">IF($M9="","",IFERROR(IF($K9="Clásica",VLOOKUP("Argentina"&amp;$J9,Datos!$C:$D,2,0),VLOOKUP("Argentina"&amp;$J9,Datos!$C:$D,2,0)+VLOOKUP("Argentina"&amp;$K9,Datos!$H:$I,2,0)),"Error"))</f>
        <v/>
      </c>
      <c r="P9" s="61" t="str">
        <f aca="false">IF($M9="","",IFERROR(-$M9*$O9,"Error"))</f>
        <v/>
      </c>
      <c r="Q9" s="61" t="str">
        <f aca="false">IF($M9="","",IFERROR(-($P9-$P9/(1+Datos!$B$2)),"Error"))</f>
        <v/>
      </c>
      <c r="R9" s="61" t="str">
        <f aca="false">IF($M9="","",IF($M9&lt;=15000,-1000,IF($M9&lt;=25000,-2000,IF($M9&lt;=33000,-2400,0))))</f>
        <v/>
      </c>
      <c r="S9" s="61" t="str">
        <f aca="false">IF($M9="","",-($R9-$R9/(1+Datos!$B$2)))</f>
        <v/>
      </c>
      <c r="T9" s="61" t="str">
        <f aca="false">IF($M9="","",-$M9/(1+$L9)*$L9)</f>
        <v/>
      </c>
      <c r="U9" s="61" t="str">
        <f aca="false">IF($M9="","",$C9*$D9)</f>
        <v/>
      </c>
      <c r="V9" s="61" t="str">
        <f aca="false">IF($M9="","",-N($N9))</f>
        <v/>
      </c>
      <c r="W9" s="61" t="str">
        <f aca="false">IF($M9="","",-($V9-$V9/(1+Datos!$B$2)))</f>
        <v/>
      </c>
      <c r="X9" s="61" t="str">
        <f aca="false">IF($M9="","",-$M9*Datos!$C$2)</f>
        <v/>
      </c>
      <c r="Y9" s="61" t="str">
        <f aca="false">IF($M9="","",IFERROR($M9+$U9+$T9+$P9+$Q9+$R9+$S9+$V9+$W9+$X9,"Error"))</f>
        <v/>
      </c>
      <c r="Z9" s="61" t="str">
        <f aca="false">IF($M9="","",IFERROR($Y9-$E9,"Error"))</f>
        <v/>
      </c>
      <c r="AA9" s="60" t="str">
        <f aca="false">IF($M9="","",IFERROR($Z9/($M9+$T9),"Error"))</f>
        <v/>
      </c>
      <c r="AB9" s="62" t="str">
        <f aca="false">IF($M9="","",IFERROR($M9/$E9,"Error"))</f>
        <v/>
      </c>
      <c r="AD9" s="59"/>
      <c r="AE9" s="57" t="s">
        <v>118</v>
      </c>
      <c r="AF9" s="58" t="n">
        <v>0.15</v>
      </c>
      <c r="AG9" s="60" t="str">
        <f aca="false">IF(N($AD9)=0,"",IFERROR(($AD9/(1+$L9)-($AD9*$O9+IF($AD9&lt;=15000,1000,IF($AD9&lt;=25000,2000,IF($AD9&lt;=33000,2400,0)))+N($N9))/(1+Datos!$B$2)-$AD9*Datos!$C$2-$C9)/($AD9/(1+$L9)),"Error"))</f>
        <v/>
      </c>
      <c r="AH9" s="61" t="str">
        <f aca="false">IF(N($AD9)=0,"",IFERROR($AD9/(1+$L9)*(1-$AF9)-($AD9*$O9+IF($AD9&lt;=15000,1000,IF($AD9&lt;=25000,2000,IF($AD9&lt;=33000,2400,0)))+N($N9))/(1+Datos!$B$2)-$AD9*Datos!$C$2,"Error"))</f>
        <v/>
      </c>
      <c r="AI9" s="61" t="str">
        <f aca="false">IF($AH9="","",IFERROR($AH9*(1+$D9),"Error"))</f>
        <v/>
      </c>
      <c r="AJ9" s="60" t="str">
        <f aca="false">IF($AH9="","",IFERROR($C9/$AH9-1,"Error"))</f>
        <v/>
      </c>
      <c r="AK9" s="63" t="str">
        <f aca="false">IF($AH9="","",IFERROR(IF($C9&lt;=$AH9,"OK a ese precio","Bajar costo"),"Error"))</f>
        <v/>
      </c>
    </row>
    <row r="10" customFormat="false" ht="15" hidden="false" customHeight="false" outlineLevel="0" collapsed="false">
      <c r="A10" s="51" t="s">
        <v>121</v>
      </c>
      <c r="B10" s="52" t="s">
        <v>122</v>
      </c>
      <c r="C10" s="53" t="n">
        <v>13608</v>
      </c>
      <c r="D10" s="54" t="n">
        <v>0.21</v>
      </c>
      <c r="E10" s="55" t="n">
        <f aca="false">+C10*(1+D10)</f>
        <v>16465.68</v>
      </c>
      <c r="F10" s="22" t="s">
        <v>110</v>
      </c>
      <c r="G10" s="56" t="s">
        <v>111</v>
      </c>
      <c r="H10" s="53" t="n">
        <v>1565</v>
      </c>
      <c r="J10" s="57" t="s">
        <v>38</v>
      </c>
      <c r="K10" s="57" t="s">
        <v>12</v>
      </c>
      <c r="L10" s="58" t="n">
        <v>0.21</v>
      </c>
      <c r="M10" s="59" t="n">
        <v>25700</v>
      </c>
      <c r="N10" s="59" t="n">
        <v>0</v>
      </c>
      <c r="O10" s="60" t="n">
        <f aca="false">IF($M10="","",IFERROR(IF($K10="Clásica",VLOOKUP("Argentina"&amp;$J10,Datos!$C:$D,2,0),VLOOKUP("Argentina"&amp;$J10,Datos!$C:$D,2,0)+VLOOKUP("Argentina"&amp;$K10,Datos!$H:$I,2,0)),"Error"))</f>
        <v>0.14</v>
      </c>
      <c r="P10" s="61" t="n">
        <f aca="false">IF($M10="","",IFERROR(-$M10*$O10,"Error"))</f>
        <v>-3598</v>
      </c>
      <c r="Q10" s="61" t="n">
        <f aca="false">IF($M10="","",IFERROR(-($P10-$P10/(1+Datos!$B$2)),"Error"))</f>
        <v>624.446280991735</v>
      </c>
      <c r="R10" s="61" t="n">
        <f aca="false">IF($M10="","",IF($M10&lt;=15000,-1000,IF($M10&lt;=25000,-2000,IF($M10&lt;=33000,-2400,0))))</f>
        <v>-2400</v>
      </c>
      <c r="S10" s="61" t="n">
        <f aca="false">IF($M10="","",-($R10-$R10/(1+Datos!$B$2)))</f>
        <v>416.528925619835</v>
      </c>
      <c r="T10" s="61" t="n">
        <f aca="false">IF($M10="","",-$M10/(1+$L10)*$L10)</f>
        <v>-4460.3305785124</v>
      </c>
      <c r="U10" s="61" t="n">
        <f aca="false">IF($M10="","",$C10*$D10)</f>
        <v>2857.68</v>
      </c>
      <c r="V10" s="61" t="n">
        <f aca="false">IF($M10="","",-N($N10))</f>
        <v>-0</v>
      </c>
      <c r="W10" s="61" t="n">
        <f aca="false">IF($M10="","",-($V10-$V10/(1+Datos!$B$2)))</f>
        <v>-0</v>
      </c>
      <c r="X10" s="61" t="n">
        <f aca="false">IF($M10="","",-$M10*Datos!$C$2)</f>
        <v>-1207.9</v>
      </c>
      <c r="Y10" s="61" t="n">
        <f aca="false">IF($M10="","",IFERROR($M10+$U10+$T10+$P10+$Q10+$R10+$S10+$V10+$W10+$X10,"Error"))</f>
        <v>17932.4246280992</v>
      </c>
      <c r="Z10" s="61" t="n">
        <f aca="false">IF($M10="","",IFERROR($Y10-$E10,"Error"))</f>
        <v>1466.74462809917</v>
      </c>
      <c r="AA10" s="60" t="n">
        <f aca="false">IF($M10="","",IFERROR($Z10/($M10+$T10),"Error"))</f>
        <v>0.0690568482490272</v>
      </c>
      <c r="AB10" s="62" t="n">
        <f aca="false">IF($M10="","",IFERROR($M10/$E10,"Error"))</f>
        <v>1.56082226789297</v>
      </c>
      <c r="AD10" s="59" t="n">
        <v>25700</v>
      </c>
      <c r="AE10" s="57" t="s">
        <v>123</v>
      </c>
      <c r="AF10" s="58" t="n">
        <v>0.15</v>
      </c>
      <c r="AG10" s="60" t="n">
        <f aca="false">IF(N($AD10)=0,"",IFERROR(($AD10/(1+$L10)-($AD10*$O10+IF($AD10&lt;=15000,1000,IF($AD10&lt;=25000,2000,IF($AD10&lt;=33000,2400,0)))+N($N10))/(1+Datos!$B$2)-$AD10*Datos!$C$2-$C10)/($AD10/(1+$L10)),"Error"))</f>
        <v>0.0690568482490272</v>
      </c>
      <c r="AH10" s="61" t="n">
        <f aca="false">IF(N($AD10)=0,"",IFERROR($AD10/(1+$L10)*(1-$AF10)-($AD10*$O10+IF($AD10&lt;=15000,1000,IF($AD10&lt;=25000,2000,IF($AD10&lt;=33000,2400,0)))+N($N10))/(1+Datos!$B$2)-$AD10*Datos!$C$2,"Error"))</f>
        <v>11888.794214876</v>
      </c>
      <c r="AI10" s="61" t="n">
        <f aca="false">IF($AH10="","",IFERROR($AH10*(1+$D10),"Error"))</f>
        <v>14385.441</v>
      </c>
      <c r="AJ10" s="60" t="n">
        <f aca="false">IF($AH10="","",IFERROR($C10/$AH10-1,"Error"))</f>
        <v>0.144607245617288</v>
      </c>
      <c r="AK10" s="63" t="str">
        <f aca="false">IF($AH10="","",IFERROR(IF($C10&lt;=$AH10,"OK a ese precio","Bajar costo"),"Error"))</f>
        <v>Bajar costo</v>
      </c>
    </row>
    <row r="11" customFormat="false" ht="15" hidden="false" customHeight="false" outlineLevel="0" collapsed="false">
      <c r="E11" s="0" t="str">
        <f aca="false">IF($C11="","",$C11*(1+$D11))</f>
        <v/>
      </c>
      <c r="J11" s="57"/>
      <c r="K11" s="57"/>
      <c r="L11" s="58"/>
      <c r="M11" s="59"/>
      <c r="N11" s="59"/>
      <c r="O11" s="60" t="str">
        <f aca="false">IF($M11="","",IFERROR(IF($K11="Clásica",VLOOKUP("Argentina"&amp;$J11,Datos!$C:$D,2,0),VLOOKUP("Argentina"&amp;$J11,Datos!$C:$D,2,0)+VLOOKUP("Argentina"&amp;$K11,Datos!$H:$I,2,0)),"Error"))</f>
        <v/>
      </c>
      <c r="P11" s="61" t="str">
        <f aca="false">IF($M11="","",IFERROR(-$M11*$O11,"Error"))</f>
        <v/>
      </c>
      <c r="Q11" s="61" t="str">
        <f aca="false">IF($M11="","",IFERROR(-($P11-$P11/(1+Datos!$B$2)),"Error"))</f>
        <v/>
      </c>
      <c r="R11" s="61" t="str">
        <f aca="false">IF($M11="","",IF($M11&lt;=15000,-1000,IF($M11&lt;=25000,-2000,IF($M11&lt;=33000,-2400,0))))</f>
        <v/>
      </c>
      <c r="S11" s="61" t="str">
        <f aca="false">IF($M11="","",-($R11-$R11/(1+Datos!$B$2)))</f>
        <v/>
      </c>
      <c r="T11" s="61" t="str">
        <f aca="false">IF($M11="","",-$M11/(1+$L11)*$L11)</f>
        <v/>
      </c>
      <c r="U11" s="61" t="str">
        <f aca="false">IF($M11="","",$C11*$D11)</f>
        <v/>
      </c>
      <c r="V11" s="61" t="str">
        <f aca="false">IF($M11="","",-N($N11))</f>
        <v/>
      </c>
      <c r="W11" s="61" t="str">
        <f aca="false">IF($M11="","",-($V11-$V11/(1+Datos!$B$2)))</f>
        <v/>
      </c>
      <c r="X11" s="61" t="str">
        <f aca="false">IF($M11="","",-$M11*Datos!$C$2)</f>
        <v/>
      </c>
      <c r="Y11" s="61" t="str">
        <f aca="false">IF($M11="","",IFERROR($M11+$U11+$T11+$P11+$Q11+$R11+$S11+$V11+$W11+$X11,"Error"))</f>
        <v/>
      </c>
      <c r="Z11" s="61" t="str">
        <f aca="false">IF($M11="","",IFERROR($Y11-$E11,"Error"))</f>
        <v/>
      </c>
      <c r="AA11" s="60" t="str">
        <f aca="false">IF($M11="","",IFERROR($Z11/($M11+$T11),"Error"))</f>
        <v/>
      </c>
      <c r="AB11" s="62" t="str">
        <f aca="false">IF($M11="","",IFERROR($M11/$E11,"Error"))</f>
        <v/>
      </c>
      <c r="AD11" s="59"/>
      <c r="AE11" s="57"/>
      <c r="AF11" s="58"/>
      <c r="AG11" s="60" t="str">
        <f aca="false">IF(N($AD11)=0,"",IFERROR(($AD11/(1+$L11)-($AD11*$O11+IF($AD11&lt;=15000,1000,IF($AD11&lt;=25000,2000,IF($AD11&lt;=33000,2400,0)))+N($N11))/(1+Datos!$B$2)-$AD11*Datos!$C$2-$C11)/($AD11/(1+$L11)),"Error"))</f>
        <v/>
      </c>
      <c r="AH11" s="61" t="str">
        <f aca="false">IF(N($AD11)=0,"",IFERROR($AD11/(1+$L11)*(1-$AF11)-($AD11*$O11+IF($AD11&lt;=15000,1000,IF($AD11&lt;=25000,2000,IF($AD11&lt;=33000,2400,0)))+N($N11))/(1+Datos!$B$2)-$AD11*Datos!$C$2,"Error"))</f>
        <v/>
      </c>
      <c r="AI11" s="61" t="str">
        <f aca="false">IF($AH11="","",IFERROR($AH11*(1+$D11),"Error"))</f>
        <v/>
      </c>
      <c r="AJ11" s="60" t="str">
        <f aca="false">IF($AH11="","",IFERROR($C11/$AH11-1,"Error"))</f>
        <v/>
      </c>
      <c r="AK11" s="63" t="str">
        <f aca="false">IF($AH11="","",IFERROR(IF($C11&lt;=$AH11,"OK a ese precio","Bajar costo"),"Error"))</f>
        <v/>
      </c>
    </row>
    <row r="12" customFormat="false" ht="15" hidden="false" customHeight="false" outlineLevel="0" collapsed="false">
      <c r="E12" s="0" t="str">
        <f aca="false">IF($C12="","",$C12*(1+$D12))</f>
        <v/>
      </c>
      <c r="J12" s="57"/>
      <c r="K12" s="57"/>
      <c r="L12" s="58"/>
      <c r="M12" s="59"/>
      <c r="N12" s="59"/>
      <c r="O12" s="60" t="str">
        <f aca="false">IF($M12="","",IFERROR(IF($K12="Clásica",VLOOKUP("Argentina"&amp;$J12,Datos!$C:$D,2,0),VLOOKUP("Argentina"&amp;$J12,Datos!$C:$D,2,0)+VLOOKUP("Argentina"&amp;$K12,Datos!$H:$I,2,0)),"Error"))</f>
        <v/>
      </c>
      <c r="P12" s="61" t="str">
        <f aca="false">IF($M12="","",IFERROR(-$M12*$O12,"Error"))</f>
        <v/>
      </c>
      <c r="Q12" s="61" t="str">
        <f aca="false">IF($M12="","",IFERROR(-($P12-$P12/(1+Datos!$B$2)),"Error"))</f>
        <v/>
      </c>
      <c r="R12" s="61" t="str">
        <f aca="false">IF($M12="","",IF($M12&lt;=15000,-1000,IF($M12&lt;=25000,-2000,IF($M12&lt;=33000,-2400,0))))</f>
        <v/>
      </c>
      <c r="S12" s="61" t="str">
        <f aca="false">IF($M12="","",-($R12-$R12/(1+Datos!$B$2)))</f>
        <v/>
      </c>
      <c r="T12" s="61" t="str">
        <f aca="false">IF($M12="","",-$M12/(1+$L12)*$L12)</f>
        <v/>
      </c>
      <c r="U12" s="61" t="str">
        <f aca="false">IF($M12="","",$C12*$D12)</f>
        <v/>
      </c>
      <c r="V12" s="61" t="str">
        <f aca="false">IF($M12="","",-N($N12))</f>
        <v/>
      </c>
      <c r="W12" s="61" t="str">
        <f aca="false">IF($M12="","",-($V12-$V12/(1+Datos!$B$2)))</f>
        <v/>
      </c>
      <c r="X12" s="61" t="str">
        <f aca="false">IF($M12="","",-$M12*Datos!$C$2)</f>
        <v/>
      </c>
      <c r="Y12" s="61" t="str">
        <f aca="false">IF($M12="","",IFERROR($M12+$U12+$T12+$P12+$Q12+$R12+$S12+$V12+$W12+$X12,"Error"))</f>
        <v/>
      </c>
      <c r="Z12" s="61" t="str">
        <f aca="false">IF($M12="","",IFERROR($Y12-$E12,"Error"))</f>
        <v/>
      </c>
      <c r="AA12" s="60" t="str">
        <f aca="false">IF($M12="","",IFERROR($Z12/($M12+$T12),"Error"))</f>
        <v/>
      </c>
      <c r="AB12" s="62" t="str">
        <f aca="false">IF($M12="","",IFERROR($M12/$E12,"Error"))</f>
        <v/>
      </c>
      <c r="AD12" s="59"/>
      <c r="AE12" s="57"/>
      <c r="AF12" s="58"/>
      <c r="AG12" s="60" t="str">
        <f aca="false">IF(N($AD12)=0,"",IFERROR(($AD12/(1+$L12)-($AD12*$O12+IF($AD12&lt;=15000,1000,IF($AD12&lt;=25000,2000,IF($AD12&lt;=33000,2400,0)))+N($N12))/(1+Datos!$B$2)-$AD12*Datos!$C$2-$C12)/($AD12/(1+$L12)),"Error"))</f>
        <v/>
      </c>
      <c r="AH12" s="61" t="str">
        <f aca="false">IF(N($AD12)=0,"",IFERROR($AD12/(1+$L12)*(1-$AF12)-($AD12*$O12+IF($AD12&lt;=15000,1000,IF($AD12&lt;=25000,2000,IF($AD12&lt;=33000,2400,0)))+N($N12))/(1+Datos!$B$2)-$AD12*Datos!$C$2,"Error"))</f>
        <v/>
      </c>
      <c r="AI12" s="61" t="str">
        <f aca="false">IF($AH12="","",IFERROR($AH12*(1+$D12),"Error"))</f>
        <v/>
      </c>
      <c r="AJ12" s="60" t="str">
        <f aca="false">IF($AH12="","",IFERROR($C12/$AH12-1,"Error"))</f>
        <v/>
      </c>
      <c r="AK12" s="63" t="str">
        <f aca="false">IF($AH12="","",IFERROR(IF($C12&lt;=$AH12,"OK a ese precio","Bajar costo"),"Error"))</f>
        <v/>
      </c>
    </row>
    <row r="13" customFormat="false" ht="15" hidden="false" customHeight="false" outlineLevel="0" collapsed="false">
      <c r="E13" s="0" t="str">
        <f aca="false">IF($C13="","",$C13*(1+$D13))</f>
        <v/>
      </c>
      <c r="J13" s="57"/>
      <c r="K13" s="57"/>
      <c r="L13" s="58"/>
      <c r="M13" s="59"/>
      <c r="N13" s="59"/>
      <c r="O13" s="60" t="str">
        <f aca="false">IF($M13="","",IFERROR(IF($K13="Clásica",VLOOKUP("Argentina"&amp;$J13,Datos!$C:$D,2,0),VLOOKUP("Argentina"&amp;$J13,Datos!$C:$D,2,0)+VLOOKUP("Argentina"&amp;$K13,Datos!$H:$I,2,0)),"Error"))</f>
        <v/>
      </c>
      <c r="P13" s="61" t="str">
        <f aca="false">IF($M13="","",IFERROR(-$M13*$O13,"Error"))</f>
        <v/>
      </c>
      <c r="Q13" s="61" t="str">
        <f aca="false">IF($M13="","",IFERROR(-($P13-$P13/(1+Datos!$B$2)),"Error"))</f>
        <v/>
      </c>
      <c r="R13" s="61" t="str">
        <f aca="false">IF($M13="","",IF($M13&lt;=15000,-1000,IF($M13&lt;=25000,-2000,IF($M13&lt;=33000,-2400,0))))</f>
        <v/>
      </c>
      <c r="S13" s="61" t="str">
        <f aca="false">IF($M13="","",-($R13-$R13/(1+Datos!$B$2)))</f>
        <v/>
      </c>
      <c r="T13" s="61" t="str">
        <f aca="false">IF($M13="","",-$M13/(1+$L13)*$L13)</f>
        <v/>
      </c>
      <c r="U13" s="61" t="str">
        <f aca="false">IF($M13="","",$C13*$D13)</f>
        <v/>
      </c>
      <c r="V13" s="61" t="str">
        <f aca="false">IF($M13="","",-N($N13))</f>
        <v/>
      </c>
      <c r="W13" s="61" t="str">
        <f aca="false">IF($M13="","",-($V13-$V13/(1+Datos!$B$2)))</f>
        <v/>
      </c>
      <c r="X13" s="61" t="str">
        <f aca="false">IF($M13="","",-$M13*Datos!$C$2)</f>
        <v/>
      </c>
      <c r="Y13" s="61" t="str">
        <f aca="false">IF($M13="","",IFERROR($M13+$U13+$T13+$P13+$Q13+$R13+$S13+$V13+$W13+$X13,"Error"))</f>
        <v/>
      </c>
      <c r="Z13" s="61" t="str">
        <f aca="false">IF($M13="","",IFERROR($Y13-$E13,"Error"))</f>
        <v/>
      </c>
      <c r="AA13" s="60" t="str">
        <f aca="false">IF($M13="","",IFERROR($Z13/($M13+$T13),"Error"))</f>
        <v/>
      </c>
      <c r="AB13" s="62" t="str">
        <f aca="false">IF($M13="","",IFERROR($M13/$E13,"Error"))</f>
        <v/>
      </c>
      <c r="AD13" s="59"/>
      <c r="AE13" s="57"/>
      <c r="AF13" s="58"/>
      <c r="AG13" s="60" t="str">
        <f aca="false">IF(N($AD13)=0,"",IFERROR(($AD13/(1+$L13)-($AD13*$O13+IF($AD13&lt;=15000,1000,IF($AD13&lt;=25000,2000,IF($AD13&lt;=33000,2400,0)))+N($N13))/(1+Datos!$B$2)-$AD13*Datos!$C$2-$C13)/($AD13/(1+$L13)),"Error"))</f>
        <v/>
      </c>
      <c r="AH13" s="61" t="str">
        <f aca="false">IF(N($AD13)=0,"",IFERROR($AD13/(1+$L13)*(1-$AF13)-($AD13*$O13+IF($AD13&lt;=15000,1000,IF($AD13&lt;=25000,2000,IF($AD13&lt;=33000,2400,0)))+N($N13))/(1+Datos!$B$2)-$AD13*Datos!$C$2,"Error"))</f>
        <v/>
      </c>
      <c r="AI13" s="61" t="str">
        <f aca="false">IF($AH13="","",IFERROR($AH13*(1+$D13),"Error"))</f>
        <v/>
      </c>
      <c r="AJ13" s="60" t="str">
        <f aca="false">IF($AH13="","",IFERROR($C13/$AH13-1,"Error"))</f>
        <v/>
      </c>
      <c r="AK13" s="63" t="str">
        <f aca="false">IF($AH13="","",IFERROR(IF($C13&lt;=$AH13,"OK a ese precio","Bajar costo"),"Error"))</f>
        <v/>
      </c>
    </row>
    <row r="14" customFormat="false" ht="15" hidden="false" customHeight="false" outlineLevel="0" collapsed="false">
      <c r="E14" s="0" t="str">
        <f aca="false">IF($C14="","",$C14*(1+$D14))</f>
        <v/>
      </c>
      <c r="J14" s="57"/>
      <c r="K14" s="57"/>
      <c r="L14" s="58"/>
      <c r="M14" s="59"/>
      <c r="N14" s="59"/>
      <c r="O14" s="60" t="str">
        <f aca="false">IF($M14="","",IFERROR(IF($K14="Clásica",VLOOKUP("Argentina"&amp;$J14,Datos!$C:$D,2,0),VLOOKUP("Argentina"&amp;$J14,Datos!$C:$D,2,0)+VLOOKUP("Argentina"&amp;$K14,Datos!$H:$I,2,0)),"Error"))</f>
        <v/>
      </c>
      <c r="P14" s="61" t="str">
        <f aca="false">IF($M14="","",IFERROR(-$M14*$O14,"Error"))</f>
        <v/>
      </c>
      <c r="Q14" s="61" t="str">
        <f aca="false">IF($M14="","",IFERROR(-($P14-$P14/(1+Datos!$B$2)),"Error"))</f>
        <v/>
      </c>
      <c r="R14" s="61" t="str">
        <f aca="false">IF($M14="","",IF($M14&lt;=15000,-1000,IF($M14&lt;=25000,-2000,IF($M14&lt;=33000,-2400,0))))</f>
        <v/>
      </c>
      <c r="S14" s="61" t="str">
        <f aca="false">IF($M14="","",-($R14-$R14/(1+Datos!$B$2)))</f>
        <v/>
      </c>
      <c r="T14" s="61" t="str">
        <f aca="false">IF($M14="","",-$M14/(1+$L14)*$L14)</f>
        <v/>
      </c>
      <c r="U14" s="61" t="str">
        <f aca="false">IF($M14="","",$C14*$D14)</f>
        <v/>
      </c>
      <c r="V14" s="61" t="str">
        <f aca="false">IF($M14="","",-N($N14))</f>
        <v/>
      </c>
      <c r="W14" s="61" t="str">
        <f aca="false">IF($M14="","",-($V14-$V14/(1+Datos!$B$2)))</f>
        <v/>
      </c>
      <c r="X14" s="61" t="str">
        <f aca="false">IF($M14="","",-$M14*Datos!$C$2)</f>
        <v/>
      </c>
      <c r="Y14" s="61" t="str">
        <f aca="false">IF($M14="","",IFERROR($M14+$U14+$T14+$P14+$Q14+$R14+$S14+$V14+$W14+$X14,"Error"))</f>
        <v/>
      </c>
      <c r="Z14" s="61" t="str">
        <f aca="false">IF($M14="","",IFERROR($Y14-$E14,"Error"))</f>
        <v/>
      </c>
      <c r="AA14" s="60" t="str">
        <f aca="false">IF($M14="","",IFERROR($Z14/($M14+$T14),"Error"))</f>
        <v/>
      </c>
      <c r="AB14" s="62" t="str">
        <f aca="false">IF($M14="","",IFERROR($M14/$E14,"Error"))</f>
        <v/>
      </c>
      <c r="AD14" s="59"/>
      <c r="AE14" s="57"/>
      <c r="AF14" s="58"/>
      <c r="AG14" s="60" t="str">
        <f aca="false">IF(N($AD14)=0,"",IFERROR(($AD14/(1+$L14)-($AD14*$O14+IF($AD14&lt;=15000,1000,IF($AD14&lt;=25000,2000,IF($AD14&lt;=33000,2400,0)))+N($N14))/(1+Datos!$B$2)-$AD14*Datos!$C$2-$C14)/($AD14/(1+$L14)),"Error"))</f>
        <v/>
      </c>
      <c r="AH14" s="61" t="str">
        <f aca="false">IF(N($AD14)=0,"",IFERROR($AD14/(1+$L14)*(1-$AF14)-($AD14*$O14+IF($AD14&lt;=15000,1000,IF($AD14&lt;=25000,2000,IF($AD14&lt;=33000,2400,0)))+N($N14))/(1+Datos!$B$2)-$AD14*Datos!$C$2,"Error"))</f>
        <v/>
      </c>
      <c r="AI14" s="61" t="str">
        <f aca="false">IF($AH14="","",IFERROR($AH14*(1+$D14),"Error"))</f>
        <v/>
      </c>
      <c r="AJ14" s="60" t="str">
        <f aca="false">IF($AH14="","",IFERROR($C14/$AH14-1,"Error"))</f>
        <v/>
      </c>
      <c r="AK14" s="63" t="str">
        <f aca="false">IF($AH14="","",IFERROR(IF($C14&lt;=$AH14,"OK a ese precio","Bajar costo"),"Error"))</f>
        <v/>
      </c>
    </row>
    <row r="15" customFormat="false" ht="15" hidden="false" customHeight="false" outlineLevel="0" collapsed="false">
      <c r="E15" s="0" t="str">
        <f aca="false">IF($C15="","",$C15*(1+$D15))</f>
        <v/>
      </c>
      <c r="J15" s="57"/>
      <c r="K15" s="57"/>
      <c r="L15" s="58"/>
      <c r="M15" s="59"/>
      <c r="N15" s="59"/>
      <c r="O15" s="60" t="str">
        <f aca="false">IF($M15="","",IFERROR(IF($K15="Clásica",VLOOKUP("Argentina"&amp;$J15,Datos!$C:$D,2,0),VLOOKUP("Argentina"&amp;$J15,Datos!$C:$D,2,0)+VLOOKUP("Argentina"&amp;$K15,Datos!$H:$I,2,0)),"Error"))</f>
        <v/>
      </c>
      <c r="P15" s="61" t="str">
        <f aca="false">IF($M15="","",IFERROR(-$M15*$O15,"Error"))</f>
        <v/>
      </c>
      <c r="Q15" s="61" t="str">
        <f aca="false">IF($M15="","",IFERROR(-($P15-$P15/(1+Datos!$B$2)),"Error"))</f>
        <v/>
      </c>
      <c r="R15" s="61" t="str">
        <f aca="false">IF($M15="","",IF($M15&lt;=15000,-1000,IF($M15&lt;=25000,-2000,IF($M15&lt;=33000,-2400,0))))</f>
        <v/>
      </c>
      <c r="S15" s="61" t="str">
        <f aca="false">IF($M15="","",-($R15-$R15/(1+Datos!$B$2)))</f>
        <v/>
      </c>
      <c r="T15" s="61" t="str">
        <f aca="false">IF($M15="","",-$M15/(1+$L15)*$L15)</f>
        <v/>
      </c>
      <c r="U15" s="61" t="str">
        <f aca="false">IF($M15="","",$C15*$D15)</f>
        <v/>
      </c>
      <c r="V15" s="61" t="str">
        <f aca="false">IF($M15="","",-N($N15))</f>
        <v/>
      </c>
      <c r="W15" s="61" t="str">
        <f aca="false">IF($M15="","",-($V15-$V15/(1+Datos!$B$2)))</f>
        <v/>
      </c>
      <c r="X15" s="61" t="str">
        <f aca="false">IF($M15="","",-$M15*Datos!$C$2)</f>
        <v/>
      </c>
      <c r="Y15" s="61" t="str">
        <f aca="false">IF($M15="","",IFERROR($M15+$U15+$T15+$P15+$Q15+$R15+$S15+$V15+$W15+$X15,"Error"))</f>
        <v/>
      </c>
      <c r="Z15" s="61" t="str">
        <f aca="false">IF($M15="","",IFERROR($Y15-$E15,"Error"))</f>
        <v/>
      </c>
      <c r="AA15" s="60" t="str">
        <f aca="false">IF($M15="","",IFERROR($Z15/($M15+$T15),"Error"))</f>
        <v/>
      </c>
      <c r="AB15" s="62" t="str">
        <f aca="false">IF($M15="","",IFERROR($M15/$E15,"Error"))</f>
        <v/>
      </c>
      <c r="AD15" s="59"/>
      <c r="AE15" s="57"/>
      <c r="AF15" s="58"/>
      <c r="AG15" s="60" t="str">
        <f aca="false">IF(N($AD15)=0,"",IFERROR(($AD15/(1+$L15)-($AD15*$O15+IF($AD15&lt;=15000,1000,IF($AD15&lt;=25000,2000,IF($AD15&lt;=33000,2400,0)))+N($N15))/(1+Datos!$B$2)-$AD15*Datos!$C$2-$C15)/($AD15/(1+$L15)),"Error"))</f>
        <v/>
      </c>
      <c r="AH15" s="61" t="str">
        <f aca="false">IF(N($AD15)=0,"",IFERROR($AD15/(1+$L15)*(1-$AF15)-($AD15*$O15+IF($AD15&lt;=15000,1000,IF($AD15&lt;=25000,2000,IF($AD15&lt;=33000,2400,0)))+N($N15))/(1+Datos!$B$2)-$AD15*Datos!$C$2,"Error"))</f>
        <v/>
      </c>
      <c r="AI15" s="61" t="str">
        <f aca="false">IF($AH15="","",IFERROR($AH15*(1+$D15),"Error"))</f>
        <v/>
      </c>
      <c r="AJ15" s="60" t="str">
        <f aca="false">IF($AH15="","",IFERROR($C15/$AH15-1,"Error"))</f>
        <v/>
      </c>
      <c r="AK15" s="63" t="str">
        <f aca="false">IF($AH15="","",IFERROR(IF($C15&lt;=$AH15,"OK a ese precio","Bajar costo"),"Error"))</f>
        <v/>
      </c>
    </row>
    <row r="16" customFormat="false" ht="15" hidden="false" customHeight="false" outlineLevel="0" collapsed="false">
      <c r="E16" s="0" t="str">
        <f aca="false">IF($C16="","",$C16*(1+$D16))</f>
        <v/>
      </c>
      <c r="J16" s="57"/>
      <c r="K16" s="57"/>
      <c r="L16" s="58"/>
      <c r="M16" s="59"/>
      <c r="N16" s="59"/>
      <c r="O16" s="60" t="str">
        <f aca="false">IF($M16="","",IFERROR(IF($K16="Clásica",VLOOKUP("Argentina"&amp;$J16,Datos!$C:$D,2,0),VLOOKUP("Argentina"&amp;$J16,Datos!$C:$D,2,0)+VLOOKUP("Argentina"&amp;$K16,Datos!$H:$I,2,0)),"Error"))</f>
        <v/>
      </c>
      <c r="P16" s="61" t="str">
        <f aca="false">IF($M16="","",IFERROR(-$M16*$O16,"Error"))</f>
        <v/>
      </c>
      <c r="Q16" s="61" t="str">
        <f aca="false">IF($M16="","",IFERROR(-($P16-$P16/(1+Datos!$B$2)),"Error"))</f>
        <v/>
      </c>
      <c r="R16" s="61" t="str">
        <f aca="false">IF($M16="","",IF($M16&lt;=15000,-1000,IF($M16&lt;=25000,-2000,IF($M16&lt;=33000,-2400,0))))</f>
        <v/>
      </c>
      <c r="S16" s="61" t="str">
        <f aca="false">IF($M16="","",-($R16-$R16/(1+Datos!$B$2)))</f>
        <v/>
      </c>
      <c r="T16" s="61" t="str">
        <f aca="false">IF($M16="","",-$M16/(1+$L16)*$L16)</f>
        <v/>
      </c>
      <c r="U16" s="61" t="str">
        <f aca="false">IF($M16="","",$C16*$D16)</f>
        <v/>
      </c>
      <c r="V16" s="61" t="str">
        <f aca="false">IF($M16="","",-N($N16))</f>
        <v/>
      </c>
      <c r="W16" s="61" t="str">
        <f aca="false">IF($M16="","",-($V16-$V16/(1+Datos!$B$2)))</f>
        <v/>
      </c>
      <c r="X16" s="61" t="str">
        <f aca="false">IF($M16="","",-$M16*Datos!$C$2)</f>
        <v/>
      </c>
      <c r="Y16" s="61" t="str">
        <f aca="false">IF($M16="","",IFERROR($M16+$U16+$T16+$P16+$Q16+$R16+$S16+$V16+$W16+$X16,"Error"))</f>
        <v/>
      </c>
      <c r="Z16" s="61" t="str">
        <f aca="false">IF($M16="","",IFERROR($Y16-$E16,"Error"))</f>
        <v/>
      </c>
      <c r="AA16" s="60" t="str">
        <f aca="false">IF($M16="","",IFERROR($Z16/($M16+$T16),"Error"))</f>
        <v/>
      </c>
      <c r="AB16" s="62" t="str">
        <f aca="false">IF($M16="","",IFERROR($M16/$E16,"Error"))</f>
        <v/>
      </c>
      <c r="AD16" s="59"/>
      <c r="AE16" s="57"/>
      <c r="AF16" s="58"/>
      <c r="AG16" s="60" t="str">
        <f aca="false">IF(N($AD16)=0,"",IFERROR(($AD16/(1+$L16)-($AD16*$O16+IF($AD16&lt;=15000,1000,IF($AD16&lt;=25000,2000,IF($AD16&lt;=33000,2400,0)))+N($N16))/(1+Datos!$B$2)-$AD16*Datos!$C$2-$C16)/($AD16/(1+$L16)),"Error"))</f>
        <v/>
      </c>
      <c r="AH16" s="61" t="str">
        <f aca="false">IF(N($AD16)=0,"",IFERROR($AD16/(1+$L16)*(1-$AF16)-($AD16*$O16+IF($AD16&lt;=15000,1000,IF($AD16&lt;=25000,2000,IF($AD16&lt;=33000,2400,0)))+N($N16))/(1+Datos!$B$2)-$AD16*Datos!$C$2,"Error"))</f>
        <v/>
      </c>
      <c r="AI16" s="61" t="str">
        <f aca="false">IF($AH16="","",IFERROR($AH16*(1+$D16),"Error"))</f>
        <v/>
      </c>
      <c r="AJ16" s="60" t="str">
        <f aca="false">IF($AH16="","",IFERROR($C16/$AH16-1,"Error"))</f>
        <v/>
      </c>
      <c r="AK16" s="63" t="str">
        <f aca="false">IF($AH16="","",IFERROR(IF($C16&lt;=$AH16,"OK a ese precio","Bajar costo"),"Error"))</f>
        <v/>
      </c>
    </row>
    <row r="17" customFormat="false" ht="15" hidden="false" customHeight="false" outlineLevel="0" collapsed="false">
      <c r="E17" s="0" t="str">
        <f aca="false">IF($C17="","",$C17*(1+$D17))</f>
        <v/>
      </c>
      <c r="J17" s="57"/>
      <c r="K17" s="57"/>
      <c r="L17" s="58"/>
      <c r="M17" s="59"/>
      <c r="N17" s="59"/>
      <c r="O17" s="60" t="str">
        <f aca="false">IF($M17="","",IFERROR(IF($K17="Clásica",VLOOKUP("Argentina"&amp;$J17,Datos!$C:$D,2,0),VLOOKUP("Argentina"&amp;$J17,Datos!$C:$D,2,0)+VLOOKUP("Argentina"&amp;$K17,Datos!$H:$I,2,0)),"Error"))</f>
        <v/>
      </c>
      <c r="P17" s="61" t="str">
        <f aca="false">IF($M17="","",IFERROR(-$M17*$O17,"Error"))</f>
        <v/>
      </c>
      <c r="Q17" s="61" t="str">
        <f aca="false">IF($M17="","",IFERROR(-($P17-$P17/(1+Datos!$B$2)),"Error"))</f>
        <v/>
      </c>
      <c r="R17" s="61" t="str">
        <f aca="false">IF($M17="","",IF($M17&lt;=15000,-1000,IF($M17&lt;=25000,-2000,IF($M17&lt;=33000,-2400,0))))</f>
        <v/>
      </c>
      <c r="S17" s="61" t="str">
        <f aca="false">IF($M17="","",-($R17-$R17/(1+Datos!$B$2)))</f>
        <v/>
      </c>
      <c r="T17" s="61" t="str">
        <f aca="false">IF($M17="","",-$M17/(1+$L17)*$L17)</f>
        <v/>
      </c>
      <c r="U17" s="61" t="str">
        <f aca="false">IF($M17="","",$C17*$D17)</f>
        <v/>
      </c>
      <c r="V17" s="61" t="str">
        <f aca="false">IF($M17="","",-N($N17))</f>
        <v/>
      </c>
      <c r="W17" s="61" t="str">
        <f aca="false">IF($M17="","",-($V17-$V17/(1+Datos!$B$2)))</f>
        <v/>
      </c>
      <c r="X17" s="61" t="str">
        <f aca="false">IF($M17="","",-$M17*Datos!$C$2)</f>
        <v/>
      </c>
      <c r="Y17" s="61" t="str">
        <f aca="false">IF($M17="","",IFERROR($M17+$U17+$T17+$P17+$Q17+$R17+$S17+$V17+$W17+$X17,"Error"))</f>
        <v/>
      </c>
      <c r="Z17" s="61" t="str">
        <f aca="false">IF($M17="","",IFERROR($Y17-$E17,"Error"))</f>
        <v/>
      </c>
      <c r="AA17" s="60" t="str">
        <f aca="false">IF($M17="","",IFERROR($Z17/($M17+$T17),"Error"))</f>
        <v/>
      </c>
      <c r="AB17" s="62" t="str">
        <f aca="false">IF($M17="","",IFERROR($M17/$E17,"Error"))</f>
        <v/>
      </c>
      <c r="AD17" s="59"/>
      <c r="AE17" s="57"/>
      <c r="AF17" s="58"/>
      <c r="AG17" s="60" t="str">
        <f aca="false">IF(N($AD17)=0,"",IFERROR(($AD17/(1+$L17)-($AD17*$O17+IF($AD17&lt;=15000,1000,IF($AD17&lt;=25000,2000,IF($AD17&lt;=33000,2400,0)))+N($N17))/(1+Datos!$B$2)-$AD17*Datos!$C$2-$C17)/($AD17/(1+$L17)),"Error"))</f>
        <v/>
      </c>
      <c r="AH17" s="61" t="str">
        <f aca="false">IF(N($AD17)=0,"",IFERROR($AD17/(1+$L17)*(1-$AF17)-($AD17*$O17+IF($AD17&lt;=15000,1000,IF($AD17&lt;=25000,2000,IF($AD17&lt;=33000,2400,0)))+N($N17))/(1+Datos!$B$2)-$AD17*Datos!$C$2,"Error"))</f>
        <v/>
      </c>
      <c r="AI17" s="61" t="str">
        <f aca="false">IF($AH17="","",IFERROR($AH17*(1+$D17),"Error"))</f>
        <v/>
      </c>
      <c r="AJ17" s="60" t="str">
        <f aca="false">IF($AH17="","",IFERROR($C17/$AH17-1,"Error"))</f>
        <v/>
      </c>
      <c r="AK17" s="63" t="str">
        <f aca="false">IF($AH17="","",IFERROR(IF($C17&lt;=$AH17,"OK a ese precio","Bajar costo"),"Error"))</f>
        <v/>
      </c>
    </row>
    <row r="18" customFormat="false" ht="15" hidden="false" customHeight="false" outlineLevel="0" collapsed="false">
      <c r="E18" s="0" t="str">
        <f aca="false">IF($C18="","",$C18*(1+$D18))</f>
        <v/>
      </c>
      <c r="J18" s="57"/>
      <c r="K18" s="57"/>
      <c r="L18" s="58"/>
      <c r="M18" s="59"/>
      <c r="N18" s="59"/>
      <c r="O18" s="60" t="str">
        <f aca="false">IF($M18="","",IFERROR(IF($K18="Clásica",VLOOKUP("Argentina"&amp;$J18,Datos!$C:$D,2,0),VLOOKUP("Argentina"&amp;$J18,Datos!$C:$D,2,0)+VLOOKUP("Argentina"&amp;$K18,Datos!$H:$I,2,0)),"Error"))</f>
        <v/>
      </c>
      <c r="P18" s="61" t="str">
        <f aca="false">IF($M18="","",IFERROR(-$M18*$O18,"Error"))</f>
        <v/>
      </c>
      <c r="Q18" s="61" t="str">
        <f aca="false">IF($M18="","",IFERROR(-($P18-$P18/(1+Datos!$B$2)),"Error"))</f>
        <v/>
      </c>
      <c r="R18" s="61" t="str">
        <f aca="false">IF($M18="","",IF($M18&lt;=15000,-1000,IF($M18&lt;=25000,-2000,IF($M18&lt;=33000,-2400,0))))</f>
        <v/>
      </c>
      <c r="S18" s="61" t="str">
        <f aca="false">IF($M18="","",-($R18-$R18/(1+Datos!$B$2)))</f>
        <v/>
      </c>
      <c r="T18" s="61" t="str">
        <f aca="false">IF($M18="","",-$M18/(1+$L18)*$L18)</f>
        <v/>
      </c>
      <c r="U18" s="61" t="str">
        <f aca="false">IF($M18="","",$C18*$D18)</f>
        <v/>
      </c>
      <c r="V18" s="61" t="str">
        <f aca="false">IF($M18="","",-N($N18))</f>
        <v/>
      </c>
      <c r="W18" s="61" t="str">
        <f aca="false">IF($M18="","",-($V18-$V18/(1+Datos!$B$2)))</f>
        <v/>
      </c>
      <c r="X18" s="61" t="str">
        <f aca="false">IF($M18="","",-$M18*Datos!$C$2)</f>
        <v/>
      </c>
      <c r="Y18" s="61" t="str">
        <f aca="false">IF($M18="","",IFERROR($M18+$U18+$T18+$P18+$Q18+$R18+$S18+$V18+$W18+$X18,"Error"))</f>
        <v/>
      </c>
      <c r="Z18" s="61" t="str">
        <f aca="false">IF($M18="","",IFERROR($Y18-$E18,"Error"))</f>
        <v/>
      </c>
      <c r="AA18" s="60" t="str">
        <f aca="false">IF($M18="","",IFERROR($Z18/($M18+$T18),"Error"))</f>
        <v/>
      </c>
      <c r="AB18" s="62" t="str">
        <f aca="false">IF($M18="","",IFERROR($M18/$E18,"Error"))</f>
        <v/>
      </c>
      <c r="AD18" s="59"/>
      <c r="AE18" s="57"/>
      <c r="AF18" s="58"/>
      <c r="AG18" s="60" t="str">
        <f aca="false">IF(N($AD18)=0,"",IFERROR(($AD18/(1+$L18)-($AD18*$O18+IF($AD18&lt;=15000,1000,IF($AD18&lt;=25000,2000,IF($AD18&lt;=33000,2400,0)))+N($N18))/(1+Datos!$B$2)-$AD18*Datos!$C$2-$C18)/($AD18/(1+$L18)),"Error"))</f>
        <v/>
      </c>
      <c r="AH18" s="61" t="str">
        <f aca="false">IF(N($AD18)=0,"",IFERROR($AD18/(1+$L18)*(1-$AF18)-($AD18*$O18+IF($AD18&lt;=15000,1000,IF($AD18&lt;=25000,2000,IF($AD18&lt;=33000,2400,0)))+N($N18))/(1+Datos!$B$2)-$AD18*Datos!$C$2,"Error"))</f>
        <v/>
      </c>
      <c r="AI18" s="61" t="str">
        <f aca="false">IF($AH18="","",IFERROR($AH18*(1+$D18),"Error"))</f>
        <v/>
      </c>
      <c r="AJ18" s="60" t="str">
        <f aca="false">IF($AH18="","",IFERROR($C18/$AH18-1,"Error"))</f>
        <v/>
      </c>
      <c r="AK18" s="63" t="str">
        <f aca="false">IF($AH18="","",IFERROR(IF($C18&lt;=$AH18,"OK a ese precio","Bajar costo"),"Error"))</f>
        <v/>
      </c>
    </row>
    <row r="19" customFormat="false" ht="15" hidden="false" customHeight="false" outlineLevel="0" collapsed="false">
      <c r="E19" s="0" t="str">
        <f aca="false">IF($C19="","",$C19*(1+$D19))</f>
        <v/>
      </c>
      <c r="J19" s="57"/>
      <c r="K19" s="57"/>
      <c r="L19" s="58"/>
      <c r="M19" s="59"/>
      <c r="N19" s="59"/>
      <c r="O19" s="60" t="str">
        <f aca="false">IF($M19="","",IFERROR(IF($K19="Clásica",VLOOKUP("Argentina"&amp;$J19,Datos!$C:$D,2,0),VLOOKUP("Argentina"&amp;$J19,Datos!$C:$D,2,0)+VLOOKUP("Argentina"&amp;$K19,Datos!$H:$I,2,0)),"Error"))</f>
        <v/>
      </c>
      <c r="P19" s="61" t="str">
        <f aca="false">IF($M19="","",IFERROR(-$M19*$O19,"Error"))</f>
        <v/>
      </c>
      <c r="Q19" s="61" t="str">
        <f aca="false">IF($M19="","",IFERROR(-($P19-$P19/(1+Datos!$B$2)),"Error"))</f>
        <v/>
      </c>
      <c r="R19" s="61" t="str">
        <f aca="false">IF($M19="","",IF($M19&lt;=15000,-1000,IF($M19&lt;=25000,-2000,IF($M19&lt;=33000,-2400,0))))</f>
        <v/>
      </c>
      <c r="S19" s="61" t="str">
        <f aca="false">IF($M19="","",-($R19-$R19/(1+Datos!$B$2)))</f>
        <v/>
      </c>
      <c r="T19" s="61" t="str">
        <f aca="false">IF($M19="","",-$M19/(1+$L19)*$L19)</f>
        <v/>
      </c>
      <c r="U19" s="61" t="str">
        <f aca="false">IF($M19="","",$C19*$D19)</f>
        <v/>
      </c>
      <c r="V19" s="61" t="str">
        <f aca="false">IF($M19="","",-N($N19))</f>
        <v/>
      </c>
      <c r="W19" s="61" t="str">
        <f aca="false">IF($M19="","",-($V19-$V19/(1+Datos!$B$2)))</f>
        <v/>
      </c>
      <c r="X19" s="61" t="str">
        <f aca="false">IF($M19="","",-$M19*Datos!$C$2)</f>
        <v/>
      </c>
      <c r="Y19" s="61" t="str">
        <f aca="false">IF($M19="","",IFERROR($M19+$U19+$T19+$P19+$Q19+$R19+$S19+$V19+$W19+$X19,"Error"))</f>
        <v/>
      </c>
      <c r="Z19" s="61" t="str">
        <f aca="false">IF($M19="","",IFERROR($Y19-$E19,"Error"))</f>
        <v/>
      </c>
      <c r="AA19" s="60" t="str">
        <f aca="false">IF($M19="","",IFERROR($Z19/($M19+$T19),"Error"))</f>
        <v/>
      </c>
      <c r="AB19" s="62" t="str">
        <f aca="false">IF($M19="","",IFERROR($M19/$E19,"Error"))</f>
        <v/>
      </c>
      <c r="AD19" s="59"/>
      <c r="AE19" s="57"/>
      <c r="AF19" s="58"/>
      <c r="AG19" s="60" t="str">
        <f aca="false">IF(N($AD19)=0,"",IFERROR(($AD19/(1+$L19)-($AD19*$O19+IF($AD19&lt;=15000,1000,IF($AD19&lt;=25000,2000,IF($AD19&lt;=33000,2400,0)))+N($N19))/(1+Datos!$B$2)-$AD19*Datos!$C$2-$C19)/($AD19/(1+$L19)),"Error"))</f>
        <v/>
      </c>
      <c r="AH19" s="61" t="str">
        <f aca="false">IF(N($AD19)=0,"",IFERROR($AD19/(1+$L19)*(1-$AF19)-($AD19*$O19+IF($AD19&lt;=15000,1000,IF($AD19&lt;=25000,2000,IF($AD19&lt;=33000,2400,0)))+N($N19))/(1+Datos!$B$2)-$AD19*Datos!$C$2,"Error"))</f>
        <v/>
      </c>
      <c r="AI19" s="61" t="str">
        <f aca="false">IF($AH19="","",IFERROR($AH19*(1+$D19),"Error"))</f>
        <v/>
      </c>
      <c r="AJ19" s="60" t="str">
        <f aca="false">IF($AH19="","",IFERROR($C19/$AH19-1,"Error"))</f>
        <v/>
      </c>
      <c r="AK19" s="63" t="str">
        <f aca="false">IF($AH19="","",IFERROR(IF($C19&lt;=$AH19,"OK a ese precio","Bajar costo"),"Error"))</f>
        <v/>
      </c>
    </row>
    <row r="20" customFormat="false" ht="15" hidden="false" customHeight="false" outlineLevel="0" collapsed="false">
      <c r="E20" s="0" t="str">
        <f aca="false">IF($C20="","",$C20*(1+$D20))</f>
        <v/>
      </c>
      <c r="J20" s="57"/>
      <c r="K20" s="57"/>
      <c r="L20" s="58"/>
      <c r="M20" s="59"/>
      <c r="N20" s="59"/>
      <c r="O20" s="60" t="str">
        <f aca="false">IF($M20="","",IFERROR(IF($K20="Clásica",VLOOKUP("Argentina"&amp;$J20,Datos!$C:$D,2,0),VLOOKUP("Argentina"&amp;$J20,Datos!$C:$D,2,0)+VLOOKUP("Argentina"&amp;$K20,Datos!$H:$I,2,0)),"Error"))</f>
        <v/>
      </c>
      <c r="P20" s="61" t="str">
        <f aca="false">IF($M20="","",IFERROR(-$M20*$O20,"Error"))</f>
        <v/>
      </c>
      <c r="Q20" s="61" t="str">
        <f aca="false">IF($M20="","",IFERROR(-($P20-$P20/(1+Datos!$B$2)),"Error"))</f>
        <v/>
      </c>
      <c r="R20" s="61" t="str">
        <f aca="false">IF($M20="","",IF($M20&lt;=15000,-1000,IF($M20&lt;=25000,-2000,IF($M20&lt;=33000,-2400,0))))</f>
        <v/>
      </c>
      <c r="S20" s="61" t="str">
        <f aca="false">IF($M20="","",-($R20-$R20/(1+Datos!$B$2)))</f>
        <v/>
      </c>
      <c r="T20" s="61" t="str">
        <f aca="false">IF($M20="","",-$M20/(1+$L20)*$L20)</f>
        <v/>
      </c>
      <c r="U20" s="61" t="str">
        <f aca="false">IF($M20="","",$C20*$D20)</f>
        <v/>
      </c>
      <c r="V20" s="61" t="str">
        <f aca="false">IF($M20="","",-N($N20))</f>
        <v/>
      </c>
      <c r="W20" s="61" t="str">
        <f aca="false">IF($M20="","",-($V20-$V20/(1+Datos!$B$2)))</f>
        <v/>
      </c>
      <c r="X20" s="61" t="str">
        <f aca="false">IF($M20="","",-$M20*Datos!$C$2)</f>
        <v/>
      </c>
      <c r="Y20" s="61" t="str">
        <f aca="false">IF($M20="","",IFERROR($M20+$U20+$T20+$P20+$Q20+$R20+$S20+$V20+$W20+$X20,"Error"))</f>
        <v/>
      </c>
      <c r="Z20" s="61" t="str">
        <f aca="false">IF($M20="","",IFERROR($Y20-$E20,"Error"))</f>
        <v/>
      </c>
      <c r="AA20" s="60" t="str">
        <f aca="false">IF($M20="","",IFERROR($Z20/($M20+$T20),"Error"))</f>
        <v/>
      </c>
      <c r="AB20" s="62" t="str">
        <f aca="false">IF($M20="","",IFERROR($M20/$E20,"Error"))</f>
        <v/>
      </c>
      <c r="AD20" s="59"/>
      <c r="AE20" s="57"/>
      <c r="AF20" s="58"/>
      <c r="AG20" s="60" t="str">
        <f aca="false">IF(N($AD20)=0,"",IFERROR(($AD20/(1+$L20)-($AD20*$O20+IF($AD20&lt;=15000,1000,IF($AD20&lt;=25000,2000,IF($AD20&lt;=33000,2400,0)))+N($N20))/(1+Datos!$B$2)-$AD20*Datos!$C$2-$C20)/($AD20/(1+$L20)),"Error"))</f>
        <v/>
      </c>
      <c r="AH20" s="61" t="str">
        <f aca="false">IF(N($AD20)=0,"",IFERROR($AD20/(1+$L20)*(1-$AF20)-($AD20*$O20+IF($AD20&lt;=15000,1000,IF($AD20&lt;=25000,2000,IF($AD20&lt;=33000,2400,0)))+N($N20))/(1+Datos!$B$2)-$AD20*Datos!$C$2,"Error"))</f>
        <v/>
      </c>
      <c r="AI20" s="61" t="str">
        <f aca="false">IF($AH20="","",IFERROR($AH20*(1+$D20),"Error"))</f>
        <v/>
      </c>
      <c r="AJ20" s="60" t="str">
        <f aca="false">IF($AH20="","",IFERROR($C20/$AH20-1,"Error"))</f>
        <v/>
      </c>
      <c r="AK20" s="63" t="str">
        <f aca="false">IF($AH20="","",IFERROR(IF($C20&lt;=$AH20,"OK a ese precio","Bajar costo"),"Error"))</f>
        <v/>
      </c>
    </row>
    <row r="21" customFormat="false" ht="15" hidden="false" customHeight="false" outlineLevel="0" collapsed="false">
      <c r="E21" s="0" t="str">
        <f aca="false">IF($C21="","",$C21*(1+$D21))</f>
        <v/>
      </c>
      <c r="J21" s="57"/>
      <c r="K21" s="57"/>
      <c r="L21" s="58"/>
      <c r="M21" s="59"/>
      <c r="N21" s="59"/>
      <c r="O21" s="60" t="str">
        <f aca="false">IF($M21="","",IFERROR(IF($K21="Clásica",VLOOKUP("Argentina"&amp;$J21,Datos!$C:$D,2,0),VLOOKUP("Argentina"&amp;$J21,Datos!$C:$D,2,0)+VLOOKUP("Argentina"&amp;$K21,Datos!$H:$I,2,0)),"Error"))</f>
        <v/>
      </c>
      <c r="P21" s="61" t="str">
        <f aca="false">IF($M21="","",IFERROR(-$M21*$O21,"Error"))</f>
        <v/>
      </c>
      <c r="Q21" s="61" t="str">
        <f aca="false">IF($M21="","",IFERROR(-($P21-$P21/(1+Datos!$B$2)),"Error"))</f>
        <v/>
      </c>
      <c r="R21" s="61" t="str">
        <f aca="false">IF($M21="","",IF($M21&lt;=15000,-1000,IF($M21&lt;=25000,-2000,IF($M21&lt;=33000,-2400,0))))</f>
        <v/>
      </c>
      <c r="S21" s="61" t="str">
        <f aca="false">IF($M21="","",-($R21-$R21/(1+Datos!$B$2)))</f>
        <v/>
      </c>
      <c r="T21" s="61" t="str">
        <f aca="false">IF($M21="","",-$M21/(1+$L21)*$L21)</f>
        <v/>
      </c>
      <c r="U21" s="61" t="str">
        <f aca="false">IF($M21="","",$C21*$D21)</f>
        <v/>
      </c>
      <c r="V21" s="61" t="str">
        <f aca="false">IF($M21="","",-N($N21))</f>
        <v/>
      </c>
      <c r="W21" s="61" t="str">
        <f aca="false">IF($M21="","",-($V21-$V21/(1+Datos!$B$2)))</f>
        <v/>
      </c>
      <c r="X21" s="61" t="str">
        <f aca="false">IF($M21="","",-$M21*Datos!$C$2)</f>
        <v/>
      </c>
      <c r="Y21" s="61" t="str">
        <f aca="false">IF($M21="","",IFERROR($M21+$U21+$T21+$P21+$Q21+$R21+$S21+$V21+$W21+$X21,"Error"))</f>
        <v/>
      </c>
      <c r="Z21" s="61" t="str">
        <f aca="false">IF($M21="","",IFERROR($Y21-$E21,"Error"))</f>
        <v/>
      </c>
      <c r="AA21" s="60" t="str">
        <f aca="false">IF($M21="","",IFERROR($Z21/($M21+$T21),"Error"))</f>
        <v/>
      </c>
      <c r="AB21" s="62" t="str">
        <f aca="false">IF($M21="","",IFERROR($M21/$E21,"Error"))</f>
        <v/>
      </c>
      <c r="AD21" s="59"/>
      <c r="AE21" s="57"/>
      <c r="AF21" s="58"/>
      <c r="AG21" s="60" t="str">
        <f aca="false">IF(N($AD21)=0,"",IFERROR(($AD21/(1+$L21)-($AD21*$O21+IF($AD21&lt;=15000,1000,IF($AD21&lt;=25000,2000,IF($AD21&lt;=33000,2400,0)))+N($N21))/(1+Datos!$B$2)-$AD21*Datos!$C$2-$C21)/($AD21/(1+$L21)),"Error"))</f>
        <v/>
      </c>
      <c r="AH21" s="61" t="str">
        <f aca="false">IF(N($AD21)=0,"",IFERROR($AD21/(1+$L21)*(1-$AF21)-($AD21*$O21+IF($AD21&lt;=15000,1000,IF($AD21&lt;=25000,2000,IF($AD21&lt;=33000,2400,0)))+N($N21))/(1+Datos!$B$2)-$AD21*Datos!$C$2,"Error"))</f>
        <v/>
      </c>
      <c r="AI21" s="61" t="str">
        <f aca="false">IF($AH21="","",IFERROR($AH21*(1+$D21),"Error"))</f>
        <v/>
      </c>
      <c r="AJ21" s="60" t="str">
        <f aca="false">IF($AH21="","",IFERROR($C21/$AH21-1,"Error"))</f>
        <v/>
      </c>
      <c r="AK21" s="63" t="str">
        <f aca="false">IF($AH21="","",IFERROR(IF($C21&lt;=$AH21,"OK a ese precio","Bajar costo"),"Error"))</f>
        <v/>
      </c>
    </row>
    <row r="22" customFormat="false" ht="15" hidden="false" customHeight="false" outlineLevel="0" collapsed="false">
      <c r="E22" s="0" t="str">
        <f aca="false">IF($C22="","",$C22*(1+$D22))</f>
        <v/>
      </c>
      <c r="J22" s="57"/>
      <c r="K22" s="57"/>
      <c r="L22" s="58"/>
      <c r="M22" s="59"/>
      <c r="N22" s="59"/>
      <c r="O22" s="60" t="str">
        <f aca="false">IF($M22="","",IFERROR(IF($K22="Clásica",VLOOKUP("Argentina"&amp;$J22,Datos!$C:$D,2,0),VLOOKUP("Argentina"&amp;$J22,Datos!$C:$D,2,0)+VLOOKUP("Argentina"&amp;$K22,Datos!$H:$I,2,0)),"Error"))</f>
        <v/>
      </c>
      <c r="P22" s="61" t="str">
        <f aca="false">IF($M22="","",IFERROR(-$M22*$O22,"Error"))</f>
        <v/>
      </c>
      <c r="Q22" s="61" t="str">
        <f aca="false">IF($M22="","",IFERROR(-($P22-$P22/(1+Datos!$B$2)),"Error"))</f>
        <v/>
      </c>
      <c r="R22" s="61" t="str">
        <f aca="false">IF($M22="","",IF($M22&lt;=15000,-1000,IF($M22&lt;=25000,-2000,IF($M22&lt;=33000,-2400,0))))</f>
        <v/>
      </c>
      <c r="S22" s="61" t="str">
        <f aca="false">IF($M22="","",-($R22-$R22/(1+Datos!$B$2)))</f>
        <v/>
      </c>
      <c r="T22" s="61" t="str">
        <f aca="false">IF($M22="","",-$M22/(1+$L22)*$L22)</f>
        <v/>
      </c>
      <c r="U22" s="61" t="str">
        <f aca="false">IF($M22="","",$C22*$D22)</f>
        <v/>
      </c>
      <c r="V22" s="61" t="str">
        <f aca="false">IF($M22="","",-N($N22))</f>
        <v/>
      </c>
      <c r="W22" s="61" t="str">
        <f aca="false">IF($M22="","",-($V22-$V22/(1+Datos!$B$2)))</f>
        <v/>
      </c>
      <c r="X22" s="61" t="str">
        <f aca="false">IF($M22="","",-$M22*Datos!$C$2)</f>
        <v/>
      </c>
      <c r="Y22" s="61" t="str">
        <f aca="false">IF($M22="","",IFERROR($M22+$U22+$T22+$P22+$Q22+$R22+$S22+$V22+$W22+$X22,"Error"))</f>
        <v/>
      </c>
      <c r="Z22" s="61" t="str">
        <f aca="false">IF($M22="","",IFERROR($Y22-$E22,"Error"))</f>
        <v/>
      </c>
      <c r="AA22" s="60" t="str">
        <f aca="false">IF($M22="","",IFERROR($Z22/($M22+$T22),"Error"))</f>
        <v/>
      </c>
      <c r="AB22" s="62" t="str">
        <f aca="false">IF($M22="","",IFERROR($M22/$E22,"Error"))</f>
        <v/>
      </c>
      <c r="AD22" s="59"/>
      <c r="AE22" s="57"/>
      <c r="AF22" s="58"/>
      <c r="AG22" s="60" t="str">
        <f aca="false">IF(N($AD22)=0,"",IFERROR(($AD22/(1+$L22)-($AD22*$O22+IF($AD22&lt;=15000,1000,IF($AD22&lt;=25000,2000,IF($AD22&lt;=33000,2400,0)))+N($N22))/(1+Datos!$B$2)-$AD22*Datos!$C$2-$C22)/($AD22/(1+$L22)),"Error"))</f>
        <v/>
      </c>
      <c r="AH22" s="61" t="str">
        <f aca="false">IF(N($AD22)=0,"",IFERROR($AD22/(1+$L22)*(1-$AF22)-($AD22*$O22+IF($AD22&lt;=15000,1000,IF($AD22&lt;=25000,2000,IF($AD22&lt;=33000,2400,0)))+N($N22))/(1+Datos!$B$2)-$AD22*Datos!$C$2,"Error"))</f>
        <v/>
      </c>
      <c r="AI22" s="61" t="str">
        <f aca="false">IF($AH22="","",IFERROR($AH22*(1+$D22),"Error"))</f>
        <v/>
      </c>
      <c r="AJ22" s="60" t="str">
        <f aca="false">IF($AH22="","",IFERROR($C22/$AH22-1,"Error"))</f>
        <v/>
      </c>
      <c r="AK22" s="63" t="str">
        <f aca="false">IF($AH22="","",IFERROR(IF($C22&lt;=$AH22,"OK a ese precio","Bajar costo"),"Error"))</f>
        <v/>
      </c>
    </row>
    <row r="23" customFormat="false" ht="15" hidden="false" customHeight="false" outlineLevel="0" collapsed="false">
      <c r="E23" s="0" t="str">
        <f aca="false">IF($C23="","",$C23*(1+$D23))</f>
        <v/>
      </c>
      <c r="J23" s="57"/>
      <c r="K23" s="57"/>
      <c r="L23" s="58"/>
      <c r="M23" s="59"/>
      <c r="N23" s="59"/>
      <c r="O23" s="60" t="str">
        <f aca="false">IF($M23="","",IFERROR(IF($K23="Clásica",VLOOKUP("Argentina"&amp;$J23,Datos!$C:$D,2,0),VLOOKUP("Argentina"&amp;$J23,Datos!$C:$D,2,0)+VLOOKUP("Argentina"&amp;$K23,Datos!$H:$I,2,0)),"Error"))</f>
        <v/>
      </c>
      <c r="P23" s="61" t="str">
        <f aca="false">IF($M23="","",IFERROR(-$M23*$O23,"Error"))</f>
        <v/>
      </c>
      <c r="Q23" s="61" t="str">
        <f aca="false">IF($M23="","",IFERROR(-($P23-$P23/(1+Datos!$B$2)),"Error"))</f>
        <v/>
      </c>
      <c r="R23" s="61" t="str">
        <f aca="false">IF($M23="","",IF($M23&lt;=15000,-1000,IF($M23&lt;=25000,-2000,IF($M23&lt;=33000,-2400,0))))</f>
        <v/>
      </c>
      <c r="S23" s="61" t="str">
        <f aca="false">IF($M23="","",-($R23-$R23/(1+Datos!$B$2)))</f>
        <v/>
      </c>
      <c r="T23" s="61" t="str">
        <f aca="false">IF($M23="","",-$M23/(1+$L23)*$L23)</f>
        <v/>
      </c>
      <c r="U23" s="61" t="str">
        <f aca="false">IF($M23="","",$C23*$D23)</f>
        <v/>
      </c>
      <c r="V23" s="61" t="str">
        <f aca="false">IF($M23="","",-N($N23))</f>
        <v/>
      </c>
      <c r="W23" s="61" t="str">
        <f aca="false">IF($M23="","",-($V23-$V23/(1+Datos!$B$2)))</f>
        <v/>
      </c>
      <c r="X23" s="61" t="str">
        <f aca="false">IF($M23="","",-$M23*Datos!$C$2)</f>
        <v/>
      </c>
      <c r="Y23" s="61" t="str">
        <f aca="false">IF($M23="","",IFERROR($M23+$U23+$T23+$P23+$Q23+$R23+$S23+$V23+$W23+$X23,"Error"))</f>
        <v/>
      </c>
      <c r="Z23" s="61" t="str">
        <f aca="false">IF($M23="","",IFERROR($Y23-$E23,"Error"))</f>
        <v/>
      </c>
      <c r="AA23" s="60" t="str">
        <f aca="false">IF($M23="","",IFERROR($Z23/($M23+$T23),"Error"))</f>
        <v/>
      </c>
      <c r="AB23" s="62" t="str">
        <f aca="false">IF($M23="","",IFERROR($M23/$E23,"Error"))</f>
        <v/>
      </c>
      <c r="AD23" s="59"/>
      <c r="AE23" s="57"/>
      <c r="AF23" s="58"/>
      <c r="AG23" s="60" t="str">
        <f aca="false">IF(N($AD23)=0,"",IFERROR(($AD23/(1+$L23)-($AD23*$O23+IF($AD23&lt;=15000,1000,IF($AD23&lt;=25000,2000,IF($AD23&lt;=33000,2400,0)))+N($N23))/(1+Datos!$B$2)-$AD23*Datos!$C$2-$C23)/($AD23/(1+$L23)),"Error"))</f>
        <v/>
      </c>
      <c r="AH23" s="61" t="str">
        <f aca="false">IF(N($AD23)=0,"",IFERROR($AD23/(1+$L23)*(1-$AF23)-($AD23*$O23+IF($AD23&lt;=15000,1000,IF($AD23&lt;=25000,2000,IF($AD23&lt;=33000,2400,0)))+N($N23))/(1+Datos!$B$2)-$AD23*Datos!$C$2,"Error"))</f>
        <v/>
      </c>
      <c r="AI23" s="61" t="str">
        <f aca="false">IF($AH23="","",IFERROR($AH23*(1+$D23),"Error"))</f>
        <v/>
      </c>
      <c r="AJ23" s="60" t="str">
        <f aca="false">IF($AH23="","",IFERROR($C23/$AH23-1,"Error"))</f>
        <v/>
      </c>
      <c r="AK23" s="63" t="str">
        <f aca="false">IF($AH23="","",IFERROR(IF($C23&lt;=$AH23,"OK a ese precio","Bajar costo"),"Error"))</f>
        <v/>
      </c>
    </row>
    <row r="24" customFormat="false" ht="15" hidden="false" customHeight="false" outlineLevel="0" collapsed="false">
      <c r="E24" s="0" t="str">
        <f aca="false">IF($C24="","",$C24*(1+$D24))</f>
        <v/>
      </c>
      <c r="J24" s="57"/>
      <c r="K24" s="57"/>
      <c r="L24" s="58"/>
      <c r="M24" s="59"/>
      <c r="N24" s="59"/>
      <c r="O24" s="60" t="str">
        <f aca="false">IF($M24="","",IFERROR(IF($K24="Clásica",VLOOKUP("Argentina"&amp;$J24,Datos!$C:$D,2,0),VLOOKUP("Argentina"&amp;$J24,Datos!$C:$D,2,0)+VLOOKUP("Argentina"&amp;$K24,Datos!$H:$I,2,0)),"Error"))</f>
        <v/>
      </c>
      <c r="P24" s="61" t="str">
        <f aca="false">IF($M24="","",IFERROR(-$M24*$O24,"Error"))</f>
        <v/>
      </c>
      <c r="Q24" s="61" t="str">
        <f aca="false">IF($M24="","",IFERROR(-($P24-$P24/(1+Datos!$B$2)),"Error"))</f>
        <v/>
      </c>
      <c r="R24" s="61" t="str">
        <f aca="false">IF($M24="","",IF($M24&lt;=15000,-1000,IF($M24&lt;=25000,-2000,IF($M24&lt;=33000,-2400,0))))</f>
        <v/>
      </c>
      <c r="S24" s="61" t="str">
        <f aca="false">IF($M24="","",-($R24-$R24/(1+Datos!$B$2)))</f>
        <v/>
      </c>
      <c r="T24" s="61" t="str">
        <f aca="false">IF($M24="","",-$M24/(1+$L24)*$L24)</f>
        <v/>
      </c>
      <c r="U24" s="61" t="str">
        <f aca="false">IF($M24="","",$C24*$D24)</f>
        <v/>
      </c>
      <c r="V24" s="61" t="str">
        <f aca="false">IF($M24="","",-N($N24))</f>
        <v/>
      </c>
      <c r="W24" s="61" t="str">
        <f aca="false">IF($M24="","",-($V24-$V24/(1+Datos!$B$2)))</f>
        <v/>
      </c>
      <c r="X24" s="61" t="str">
        <f aca="false">IF($M24="","",-$M24*Datos!$C$2)</f>
        <v/>
      </c>
      <c r="Y24" s="61" t="str">
        <f aca="false">IF($M24="","",IFERROR($M24+$U24+$T24+$P24+$Q24+$R24+$S24+$V24+$W24+$X24,"Error"))</f>
        <v/>
      </c>
      <c r="Z24" s="61" t="str">
        <f aca="false">IF($M24="","",IFERROR($Y24-$E24,"Error"))</f>
        <v/>
      </c>
      <c r="AA24" s="60" t="str">
        <f aca="false">IF($M24="","",IFERROR($Z24/($M24+$T24),"Error"))</f>
        <v/>
      </c>
      <c r="AB24" s="62" t="str">
        <f aca="false">IF($M24="","",IFERROR($M24/$E24,"Error"))</f>
        <v/>
      </c>
      <c r="AD24" s="59"/>
      <c r="AE24" s="57"/>
      <c r="AF24" s="58"/>
      <c r="AG24" s="60" t="str">
        <f aca="false">IF(N($AD24)=0,"",IFERROR(($AD24/(1+$L24)-($AD24*$O24+IF($AD24&lt;=15000,1000,IF($AD24&lt;=25000,2000,IF($AD24&lt;=33000,2400,0)))+N($N24))/(1+Datos!$B$2)-$AD24*Datos!$C$2-$C24)/($AD24/(1+$L24)),"Error"))</f>
        <v/>
      </c>
      <c r="AH24" s="61" t="str">
        <f aca="false">IF(N($AD24)=0,"",IFERROR($AD24/(1+$L24)*(1-$AF24)-($AD24*$O24+IF($AD24&lt;=15000,1000,IF($AD24&lt;=25000,2000,IF($AD24&lt;=33000,2400,0)))+N($N24))/(1+Datos!$B$2)-$AD24*Datos!$C$2,"Error"))</f>
        <v/>
      </c>
      <c r="AI24" s="61" t="str">
        <f aca="false">IF($AH24="","",IFERROR($AH24*(1+$D24),"Error"))</f>
        <v/>
      </c>
      <c r="AJ24" s="60" t="str">
        <f aca="false">IF($AH24="","",IFERROR($C24/$AH24-1,"Error"))</f>
        <v/>
      </c>
      <c r="AK24" s="63" t="str">
        <f aca="false">IF($AH24="","",IFERROR(IF($C24&lt;=$AH24,"OK a ese precio","Bajar costo"),"Error"))</f>
        <v/>
      </c>
    </row>
    <row r="25" customFormat="false" ht="15" hidden="false" customHeight="false" outlineLevel="0" collapsed="false">
      <c r="E25" s="0" t="str">
        <f aca="false">IF($C25="","",$C25*(1+$D25))</f>
        <v/>
      </c>
      <c r="J25" s="57"/>
      <c r="K25" s="57"/>
      <c r="L25" s="58"/>
      <c r="M25" s="59"/>
      <c r="N25" s="59"/>
      <c r="O25" s="60" t="str">
        <f aca="false">IF($M25="","",IFERROR(IF($K25="Clásica",VLOOKUP("Argentina"&amp;$J25,Datos!$C:$D,2,0),VLOOKUP("Argentina"&amp;$J25,Datos!$C:$D,2,0)+VLOOKUP("Argentina"&amp;$K25,Datos!$H:$I,2,0)),"Error"))</f>
        <v/>
      </c>
      <c r="P25" s="61" t="str">
        <f aca="false">IF($M25="","",IFERROR(-$M25*$O25,"Error"))</f>
        <v/>
      </c>
      <c r="Q25" s="61" t="str">
        <f aca="false">IF($M25="","",IFERROR(-($P25-$P25/(1+Datos!$B$2)),"Error"))</f>
        <v/>
      </c>
      <c r="R25" s="61" t="str">
        <f aca="false">IF($M25="","",IF($M25&lt;=15000,-1000,IF($M25&lt;=25000,-2000,IF($M25&lt;=33000,-2400,0))))</f>
        <v/>
      </c>
      <c r="S25" s="61" t="str">
        <f aca="false">IF($M25="","",-($R25-$R25/(1+Datos!$B$2)))</f>
        <v/>
      </c>
      <c r="T25" s="61" t="str">
        <f aca="false">IF($M25="","",-$M25/(1+$L25)*$L25)</f>
        <v/>
      </c>
      <c r="U25" s="61" t="str">
        <f aca="false">IF($M25="","",$C25*$D25)</f>
        <v/>
      </c>
      <c r="V25" s="61" t="str">
        <f aca="false">IF($M25="","",-N($N25))</f>
        <v/>
      </c>
      <c r="W25" s="61" t="str">
        <f aca="false">IF($M25="","",-($V25-$V25/(1+Datos!$B$2)))</f>
        <v/>
      </c>
      <c r="X25" s="61" t="str">
        <f aca="false">IF($M25="","",-$M25*Datos!$C$2)</f>
        <v/>
      </c>
      <c r="Y25" s="61" t="str">
        <f aca="false">IF($M25="","",IFERROR($M25+$U25+$T25+$P25+$Q25+$R25+$S25+$V25+$W25+$X25,"Error"))</f>
        <v/>
      </c>
      <c r="Z25" s="61" t="str">
        <f aca="false">IF($M25="","",IFERROR($Y25-$E25,"Error"))</f>
        <v/>
      </c>
      <c r="AA25" s="60" t="str">
        <f aca="false">IF($M25="","",IFERROR($Z25/($M25+$T25),"Error"))</f>
        <v/>
      </c>
      <c r="AB25" s="62" t="str">
        <f aca="false">IF($M25="","",IFERROR($M25/$E25,"Error"))</f>
        <v/>
      </c>
      <c r="AD25" s="59"/>
      <c r="AE25" s="57"/>
      <c r="AF25" s="58"/>
      <c r="AG25" s="60" t="str">
        <f aca="false">IF(N($AD25)=0,"",IFERROR(($AD25/(1+$L25)-($AD25*$O25+IF($AD25&lt;=15000,1000,IF($AD25&lt;=25000,2000,IF($AD25&lt;=33000,2400,0)))+N($N25))/(1+Datos!$B$2)-$AD25*Datos!$C$2-$C25)/($AD25/(1+$L25)),"Error"))</f>
        <v/>
      </c>
      <c r="AH25" s="61" t="str">
        <f aca="false">IF(N($AD25)=0,"",IFERROR($AD25/(1+$L25)*(1-$AF25)-($AD25*$O25+IF($AD25&lt;=15000,1000,IF($AD25&lt;=25000,2000,IF($AD25&lt;=33000,2400,0)))+N($N25))/(1+Datos!$B$2)-$AD25*Datos!$C$2,"Error"))</f>
        <v/>
      </c>
      <c r="AI25" s="61" t="str">
        <f aca="false">IF($AH25="","",IFERROR($AH25*(1+$D25),"Error"))</f>
        <v/>
      </c>
      <c r="AJ25" s="60" t="str">
        <f aca="false">IF($AH25="","",IFERROR($C25/$AH25-1,"Error"))</f>
        <v/>
      </c>
      <c r="AK25" s="63" t="str">
        <f aca="false">IF($AH25="","",IFERROR(IF($C25&lt;=$AH25,"OK a ese precio","Bajar costo"),"Error"))</f>
        <v/>
      </c>
    </row>
    <row r="26" customFormat="false" ht="15" hidden="false" customHeight="false" outlineLevel="0" collapsed="false">
      <c r="E26" s="0" t="str">
        <f aca="false">IF($C26="","",$C26*(1+$D26))</f>
        <v/>
      </c>
      <c r="J26" s="57"/>
      <c r="K26" s="57"/>
      <c r="L26" s="58"/>
      <c r="M26" s="59"/>
      <c r="N26" s="59"/>
      <c r="O26" s="60" t="str">
        <f aca="false">IF($M26="","",IFERROR(IF($K26="Clásica",VLOOKUP("Argentina"&amp;$J26,Datos!$C:$D,2,0),VLOOKUP("Argentina"&amp;$J26,Datos!$C:$D,2,0)+VLOOKUP("Argentina"&amp;$K26,Datos!$H:$I,2,0)),"Error"))</f>
        <v/>
      </c>
      <c r="P26" s="61" t="str">
        <f aca="false">IF($M26="","",IFERROR(-$M26*$O26,"Error"))</f>
        <v/>
      </c>
      <c r="Q26" s="61" t="str">
        <f aca="false">IF($M26="","",IFERROR(-($P26-$P26/(1+Datos!$B$2)),"Error"))</f>
        <v/>
      </c>
      <c r="R26" s="61" t="str">
        <f aca="false">IF($M26="","",IF($M26&lt;=15000,-1000,IF($M26&lt;=25000,-2000,IF($M26&lt;=33000,-2400,0))))</f>
        <v/>
      </c>
      <c r="S26" s="61" t="str">
        <f aca="false">IF($M26="","",-($R26-$R26/(1+Datos!$B$2)))</f>
        <v/>
      </c>
      <c r="T26" s="61" t="str">
        <f aca="false">IF($M26="","",-$M26/(1+$L26)*$L26)</f>
        <v/>
      </c>
      <c r="U26" s="61" t="str">
        <f aca="false">IF($M26="","",$C26*$D26)</f>
        <v/>
      </c>
      <c r="V26" s="61" t="str">
        <f aca="false">IF($M26="","",-N($N26))</f>
        <v/>
      </c>
      <c r="W26" s="61" t="str">
        <f aca="false">IF($M26="","",-($V26-$V26/(1+Datos!$B$2)))</f>
        <v/>
      </c>
      <c r="X26" s="61" t="str">
        <f aca="false">IF($M26="","",-$M26*Datos!$C$2)</f>
        <v/>
      </c>
      <c r="Y26" s="61" t="str">
        <f aca="false">IF($M26="","",IFERROR($M26+$U26+$T26+$P26+$Q26+$R26+$S26+$V26+$W26+$X26,"Error"))</f>
        <v/>
      </c>
      <c r="Z26" s="61" t="str">
        <f aca="false">IF($M26="","",IFERROR($Y26-$E26,"Error"))</f>
        <v/>
      </c>
      <c r="AA26" s="60" t="str">
        <f aca="false">IF($M26="","",IFERROR($Z26/($M26+$T26),"Error"))</f>
        <v/>
      </c>
      <c r="AB26" s="62" t="str">
        <f aca="false">IF($M26="","",IFERROR($M26/$E26,"Error"))</f>
        <v/>
      </c>
      <c r="AD26" s="59"/>
      <c r="AE26" s="57"/>
      <c r="AF26" s="58"/>
      <c r="AG26" s="60" t="str">
        <f aca="false">IF(N($AD26)=0,"",IFERROR(($AD26/(1+$L26)-($AD26*$O26+IF($AD26&lt;=15000,1000,IF($AD26&lt;=25000,2000,IF($AD26&lt;=33000,2400,0)))+N($N26))/(1+Datos!$B$2)-$AD26*Datos!$C$2-$C26)/($AD26/(1+$L26)),"Error"))</f>
        <v/>
      </c>
      <c r="AH26" s="61" t="str">
        <f aca="false">IF(N($AD26)=0,"",IFERROR($AD26/(1+$L26)*(1-$AF26)-($AD26*$O26+IF($AD26&lt;=15000,1000,IF($AD26&lt;=25000,2000,IF($AD26&lt;=33000,2400,0)))+N($N26))/(1+Datos!$B$2)-$AD26*Datos!$C$2,"Error"))</f>
        <v/>
      </c>
      <c r="AI26" s="61" t="str">
        <f aca="false">IF($AH26="","",IFERROR($AH26*(1+$D26),"Error"))</f>
        <v/>
      </c>
      <c r="AJ26" s="60" t="str">
        <f aca="false">IF($AH26="","",IFERROR($C26/$AH26-1,"Error"))</f>
        <v/>
      </c>
      <c r="AK26" s="63" t="str">
        <f aca="false">IF($AH26="","",IFERROR(IF($C26&lt;=$AH26,"OK a ese precio","Bajar costo"),"Error"))</f>
        <v/>
      </c>
    </row>
    <row r="27" customFormat="false" ht="15" hidden="false" customHeight="false" outlineLevel="0" collapsed="false">
      <c r="E27" s="0" t="str">
        <f aca="false">IF($C27="","",$C27*(1+$D27))</f>
        <v/>
      </c>
      <c r="J27" s="57"/>
      <c r="K27" s="57"/>
      <c r="L27" s="58"/>
      <c r="M27" s="59"/>
      <c r="N27" s="59"/>
      <c r="O27" s="60" t="str">
        <f aca="false">IF($M27="","",IFERROR(IF($K27="Clásica",VLOOKUP("Argentina"&amp;$J27,Datos!$C:$D,2,0),VLOOKUP("Argentina"&amp;$J27,Datos!$C:$D,2,0)+VLOOKUP("Argentina"&amp;$K27,Datos!$H:$I,2,0)),"Error"))</f>
        <v/>
      </c>
      <c r="P27" s="61" t="str">
        <f aca="false">IF($M27="","",IFERROR(-$M27*$O27,"Error"))</f>
        <v/>
      </c>
      <c r="Q27" s="61" t="str">
        <f aca="false">IF($M27="","",IFERROR(-($P27-$P27/(1+Datos!$B$2)),"Error"))</f>
        <v/>
      </c>
      <c r="R27" s="61" t="str">
        <f aca="false">IF($M27="","",IF($M27&lt;=15000,-1000,IF($M27&lt;=25000,-2000,IF($M27&lt;=33000,-2400,0))))</f>
        <v/>
      </c>
      <c r="S27" s="61" t="str">
        <f aca="false">IF($M27="","",-($R27-$R27/(1+Datos!$B$2)))</f>
        <v/>
      </c>
      <c r="T27" s="61" t="str">
        <f aca="false">IF($M27="","",-$M27/(1+$L27)*$L27)</f>
        <v/>
      </c>
      <c r="U27" s="61" t="str">
        <f aca="false">IF($M27="","",$C27*$D27)</f>
        <v/>
      </c>
      <c r="V27" s="61" t="str">
        <f aca="false">IF($M27="","",-N($N27))</f>
        <v/>
      </c>
      <c r="W27" s="61" t="str">
        <f aca="false">IF($M27="","",-($V27-$V27/(1+Datos!$B$2)))</f>
        <v/>
      </c>
      <c r="X27" s="61" t="str">
        <f aca="false">IF($M27="","",-$M27*Datos!$C$2)</f>
        <v/>
      </c>
      <c r="Y27" s="61" t="str">
        <f aca="false">IF($M27="","",IFERROR($M27+$U27+$T27+$P27+$Q27+$R27+$S27+$V27+$W27+$X27,"Error"))</f>
        <v/>
      </c>
      <c r="Z27" s="61" t="str">
        <f aca="false">IF($M27="","",IFERROR($Y27-$E27,"Error"))</f>
        <v/>
      </c>
      <c r="AA27" s="60" t="str">
        <f aca="false">IF($M27="","",IFERROR($Z27/($M27+$T27),"Error"))</f>
        <v/>
      </c>
      <c r="AB27" s="62" t="str">
        <f aca="false">IF($M27="","",IFERROR($M27/$E27,"Error"))</f>
        <v/>
      </c>
      <c r="AD27" s="59"/>
      <c r="AE27" s="57"/>
      <c r="AF27" s="58"/>
      <c r="AG27" s="60" t="str">
        <f aca="false">IF(N($AD27)=0,"",IFERROR(($AD27/(1+$L27)-($AD27*$O27+IF($AD27&lt;=15000,1000,IF($AD27&lt;=25000,2000,IF($AD27&lt;=33000,2400,0)))+N($N27))/(1+Datos!$B$2)-$AD27*Datos!$C$2-$C27)/($AD27/(1+$L27)),"Error"))</f>
        <v/>
      </c>
      <c r="AH27" s="61" t="str">
        <f aca="false">IF(N($AD27)=0,"",IFERROR($AD27/(1+$L27)*(1-$AF27)-($AD27*$O27+IF($AD27&lt;=15000,1000,IF($AD27&lt;=25000,2000,IF($AD27&lt;=33000,2400,0)))+N($N27))/(1+Datos!$B$2)-$AD27*Datos!$C$2,"Error"))</f>
        <v/>
      </c>
      <c r="AI27" s="61" t="str">
        <f aca="false">IF($AH27="","",IFERROR($AH27*(1+$D27),"Error"))</f>
        <v/>
      </c>
      <c r="AJ27" s="60" t="str">
        <f aca="false">IF($AH27="","",IFERROR($C27/$AH27-1,"Error"))</f>
        <v/>
      </c>
      <c r="AK27" s="63" t="str">
        <f aca="false">IF($AH27="","",IFERROR(IF($C27&lt;=$AH27,"OK a ese precio","Bajar costo"),"Error"))</f>
        <v/>
      </c>
    </row>
    <row r="28" customFormat="false" ht="15" hidden="false" customHeight="false" outlineLevel="0" collapsed="false">
      <c r="E28" s="0" t="str">
        <f aca="false">IF($C28="","",$C28*(1+$D28))</f>
        <v/>
      </c>
      <c r="J28" s="57"/>
      <c r="K28" s="57"/>
      <c r="L28" s="58"/>
      <c r="M28" s="59"/>
      <c r="N28" s="59"/>
      <c r="O28" s="60" t="str">
        <f aca="false">IF($M28="","",IFERROR(IF($K28="Clásica",VLOOKUP("Argentina"&amp;$J28,Datos!$C:$D,2,0),VLOOKUP("Argentina"&amp;$J28,Datos!$C:$D,2,0)+VLOOKUP("Argentina"&amp;$K28,Datos!$H:$I,2,0)),"Error"))</f>
        <v/>
      </c>
      <c r="P28" s="61" t="str">
        <f aca="false">IF($M28="","",IFERROR(-$M28*$O28,"Error"))</f>
        <v/>
      </c>
      <c r="Q28" s="61" t="str">
        <f aca="false">IF($M28="","",IFERROR(-($P28-$P28/(1+Datos!$B$2)),"Error"))</f>
        <v/>
      </c>
      <c r="R28" s="61" t="str">
        <f aca="false">IF($M28="","",IF($M28&lt;=15000,-1000,IF($M28&lt;=25000,-2000,IF($M28&lt;=33000,-2400,0))))</f>
        <v/>
      </c>
      <c r="S28" s="61" t="str">
        <f aca="false">IF($M28="","",-($R28-$R28/(1+Datos!$B$2)))</f>
        <v/>
      </c>
      <c r="T28" s="61" t="str">
        <f aca="false">IF($M28="","",-$M28/(1+$L28)*$L28)</f>
        <v/>
      </c>
      <c r="U28" s="61" t="str">
        <f aca="false">IF($M28="","",$C28*$D28)</f>
        <v/>
      </c>
      <c r="V28" s="61" t="str">
        <f aca="false">IF($M28="","",-N($N28))</f>
        <v/>
      </c>
      <c r="W28" s="61" t="str">
        <f aca="false">IF($M28="","",-($V28-$V28/(1+Datos!$B$2)))</f>
        <v/>
      </c>
      <c r="X28" s="61" t="str">
        <f aca="false">IF($M28="","",-$M28*Datos!$C$2)</f>
        <v/>
      </c>
      <c r="Y28" s="61" t="str">
        <f aca="false">IF($M28="","",IFERROR($M28+$U28+$T28+$P28+$Q28+$R28+$S28+$V28+$W28+$X28,"Error"))</f>
        <v/>
      </c>
      <c r="Z28" s="61" t="str">
        <f aca="false">IF($M28="","",IFERROR($Y28-$E28,"Error"))</f>
        <v/>
      </c>
      <c r="AA28" s="60" t="str">
        <f aca="false">IF($M28="","",IFERROR($Z28/($M28+$T28),"Error"))</f>
        <v/>
      </c>
      <c r="AB28" s="62" t="str">
        <f aca="false">IF($M28="","",IFERROR($M28/$E28,"Error"))</f>
        <v/>
      </c>
      <c r="AD28" s="59"/>
      <c r="AE28" s="57"/>
      <c r="AF28" s="58"/>
      <c r="AG28" s="60" t="str">
        <f aca="false">IF(N($AD28)=0,"",IFERROR(($AD28/(1+$L28)-($AD28*$O28+IF($AD28&lt;=15000,1000,IF($AD28&lt;=25000,2000,IF($AD28&lt;=33000,2400,0)))+N($N28))/(1+Datos!$B$2)-$AD28*Datos!$C$2-$C28)/($AD28/(1+$L28)),"Error"))</f>
        <v/>
      </c>
      <c r="AH28" s="61" t="str">
        <f aca="false">IF(N($AD28)=0,"",IFERROR($AD28/(1+$L28)*(1-$AF28)-($AD28*$O28+IF($AD28&lt;=15000,1000,IF($AD28&lt;=25000,2000,IF($AD28&lt;=33000,2400,0)))+N($N28))/(1+Datos!$B$2)-$AD28*Datos!$C$2,"Error"))</f>
        <v/>
      </c>
      <c r="AI28" s="61" t="str">
        <f aca="false">IF($AH28="","",IFERROR($AH28*(1+$D28),"Error"))</f>
        <v/>
      </c>
      <c r="AJ28" s="60" t="str">
        <f aca="false">IF($AH28="","",IFERROR($C28/$AH28-1,"Error"))</f>
        <v/>
      </c>
      <c r="AK28" s="63" t="str">
        <f aca="false">IF($AH28="","",IFERROR(IF($C28&lt;=$AH28,"OK a ese precio","Bajar costo"),"Error"))</f>
        <v/>
      </c>
    </row>
    <row r="29" customFormat="false" ht="15" hidden="false" customHeight="false" outlineLevel="0" collapsed="false">
      <c r="E29" s="0" t="str">
        <f aca="false">IF($C29="","",$C29*(1+$D29))</f>
        <v/>
      </c>
      <c r="J29" s="57"/>
      <c r="K29" s="57"/>
      <c r="L29" s="58"/>
      <c r="M29" s="59"/>
      <c r="N29" s="59"/>
      <c r="O29" s="60" t="str">
        <f aca="false">IF($M29="","",IFERROR(IF($K29="Clásica",VLOOKUP("Argentina"&amp;$J29,Datos!$C:$D,2,0),VLOOKUP("Argentina"&amp;$J29,Datos!$C:$D,2,0)+VLOOKUP("Argentina"&amp;$K29,Datos!$H:$I,2,0)),"Error"))</f>
        <v/>
      </c>
      <c r="P29" s="61" t="str">
        <f aca="false">IF($M29="","",IFERROR(-$M29*$O29,"Error"))</f>
        <v/>
      </c>
      <c r="Q29" s="61" t="str">
        <f aca="false">IF($M29="","",IFERROR(-($P29-$P29/(1+Datos!$B$2)),"Error"))</f>
        <v/>
      </c>
      <c r="R29" s="61" t="str">
        <f aca="false">IF($M29="","",IF($M29&lt;=15000,-1000,IF($M29&lt;=25000,-2000,IF($M29&lt;=33000,-2400,0))))</f>
        <v/>
      </c>
      <c r="S29" s="61" t="str">
        <f aca="false">IF($M29="","",-($R29-$R29/(1+Datos!$B$2)))</f>
        <v/>
      </c>
      <c r="T29" s="61" t="str">
        <f aca="false">IF($M29="","",-$M29/(1+$L29)*$L29)</f>
        <v/>
      </c>
      <c r="U29" s="61" t="str">
        <f aca="false">IF($M29="","",$C29*$D29)</f>
        <v/>
      </c>
      <c r="V29" s="61" t="str">
        <f aca="false">IF($M29="","",-N($N29))</f>
        <v/>
      </c>
      <c r="W29" s="61" t="str">
        <f aca="false">IF($M29="","",-($V29-$V29/(1+Datos!$B$2)))</f>
        <v/>
      </c>
      <c r="X29" s="61" t="str">
        <f aca="false">IF($M29="","",-$M29*Datos!$C$2)</f>
        <v/>
      </c>
      <c r="Y29" s="61" t="str">
        <f aca="false">IF($M29="","",IFERROR($M29+$U29+$T29+$P29+$Q29+$R29+$S29+$V29+$W29+$X29,"Error"))</f>
        <v/>
      </c>
      <c r="Z29" s="61" t="str">
        <f aca="false">IF($M29="","",IFERROR($Y29-$E29,"Error"))</f>
        <v/>
      </c>
      <c r="AA29" s="60" t="str">
        <f aca="false">IF($M29="","",IFERROR($Z29/($M29+$T29),"Error"))</f>
        <v/>
      </c>
      <c r="AB29" s="62" t="str">
        <f aca="false">IF($M29="","",IFERROR($M29/$E29,"Error"))</f>
        <v/>
      </c>
      <c r="AD29" s="59"/>
      <c r="AE29" s="57"/>
      <c r="AF29" s="58"/>
      <c r="AG29" s="60" t="str">
        <f aca="false">IF(N($AD29)=0,"",IFERROR(($AD29/(1+$L29)-($AD29*$O29+IF($AD29&lt;=15000,1000,IF($AD29&lt;=25000,2000,IF($AD29&lt;=33000,2400,0)))+N($N29))/(1+Datos!$B$2)-$AD29*Datos!$C$2-$C29)/($AD29/(1+$L29)),"Error"))</f>
        <v/>
      </c>
      <c r="AH29" s="61" t="str">
        <f aca="false">IF(N($AD29)=0,"",IFERROR($AD29/(1+$L29)*(1-$AF29)-($AD29*$O29+IF($AD29&lt;=15000,1000,IF($AD29&lt;=25000,2000,IF($AD29&lt;=33000,2400,0)))+N($N29))/(1+Datos!$B$2)-$AD29*Datos!$C$2,"Error"))</f>
        <v/>
      </c>
      <c r="AI29" s="61" t="str">
        <f aca="false">IF($AH29="","",IFERROR($AH29*(1+$D29),"Error"))</f>
        <v/>
      </c>
      <c r="AJ29" s="60" t="str">
        <f aca="false">IF($AH29="","",IFERROR($C29/$AH29-1,"Error"))</f>
        <v/>
      </c>
      <c r="AK29" s="63" t="str">
        <f aca="false">IF($AH29="","",IFERROR(IF($C29&lt;=$AH29,"OK a ese precio","Bajar costo"),"Error"))</f>
        <v/>
      </c>
    </row>
    <row r="30" customFormat="false" ht="15" hidden="false" customHeight="false" outlineLevel="0" collapsed="false">
      <c r="E30" s="0" t="str">
        <f aca="false">IF($C30="","",$C30*(1+$D30))</f>
        <v/>
      </c>
      <c r="J30" s="57"/>
      <c r="K30" s="57"/>
      <c r="L30" s="58"/>
      <c r="M30" s="59"/>
      <c r="N30" s="59"/>
      <c r="O30" s="60" t="str">
        <f aca="false">IF($M30="","",IFERROR(IF($K30="Clásica",VLOOKUP("Argentina"&amp;$J30,Datos!$C:$D,2,0),VLOOKUP("Argentina"&amp;$J30,Datos!$C:$D,2,0)+VLOOKUP("Argentina"&amp;$K30,Datos!$H:$I,2,0)),"Error"))</f>
        <v/>
      </c>
      <c r="P30" s="61" t="str">
        <f aca="false">IF($M30="","",IFERROR(-$M30*$O30,"Error"))</f>
        <v/>
      </c>
      <c r="Q30" s="61" t="str">
        <f aca="false">IF($M30="","",IFERROR(-($P30-$P30/(1+Datos!$B$2)),"Error"))</f>
        <v/>
      </c>
      <c r="R30" s="61" t="str">
        <f aca="false">IF($M30="","",IF($M30&lt;=15000,-1000,IF($M30&lt;=25000,-2000,IF($M30&lt;=33000,-2400,0))))</f>
        <v/>
      </c>
      <c r="S30" s="61" t="str">
        <f aca="false">IF($M30="","",-($R30-$R30/(1+Datos!$B$2)))</f>
        <v/>
      </c>
      <c r="T30" s="61" t="str">
        <f aca="false">IF($M30="","",-$M30/(1+$L30)*$L30)</f>
        <v/>
      </c>
      <c r="U30" s="61" t="str">
        <f aca="false">IF($M30="","",$C30*$D30)</f>
        <v/>
      </c>
      <c r="V30" s="61" t="str">
        <f aca="false">IF($M30="","",-N($N30))</f>
        <v/>
      </c>
      <c r="W30" s="61" t="str">
        <f aca="false">IF($M30="","",-($V30-$V30/(1+Datos!$B$2)))</f>
        <v/>
      </c>
      <c r="X30" s="61" t="str">
        <f aca="false">IF($M30="","",-$M30*Datos!$C$2)</f>
        <v/>
      </c>
      <c r="Y30" s="61" t="str">
        <f aca="false">IF($M30="","",IFERROR($M30+$U30+$T30+$P30+$Q30+$R30+$S30+$V30+$W30+$X30,"Error"))</f>
        <v/>
      </c>
      <c r="Z30" s="61" t="str">
        <f aca="false">IF($M30="","",IFERROR($Y30-$E30,"Error"))</f>
        <v/>
      </c>
      <c r="AA30" s="60" t="str">
        <f aca="false">IF($M30="","",IFERROR($Z30/($M30+$T30),"Error"))</f>
        <v/>
      </c>
      <c r="AB30" s="62" t="str">
        <f aca="false">IF($M30="","",IFERROR($M30/$E30,"Error"))</f>
        <v/>
      </c>
      <c r="AD30" s="59"/>
      <c r="AE30" s="57"/>
      <c r="AF30" s="58"/>
      <c r="AG30" s="60" t="str">
        <f aca="false">IF(N($AD30)=0,"",IFERROR(($AD30/(1+$L30)-($AD30*$O30+IF($AD30&lt;=15000,1000,IF($AD30&lt;=25000,2000,IF($AD30&lt;=33000,2400,0)))+N($N30))/(1+Datos!$B$2)-$AD30*Datos!$C$2-$C30)/($AD30/(1+$L30)),"Error"))</f>
        <v/>
      </c>
      <c r="AH30" s="61" t="str">
        <f aca="false">IF(N($AD30)=0,"",IFERROR($AD30/(1+$L30)*(1-$AF30)-($AD30*$O30+IF($AD30&lt;=15000,1000,IF($AD30&lt;=25000,2000,IF($AD30&lt;=33000,2400,0)))+N($N30))/(1+Datos!$B$2)-$AD30*Datos!$C$2,"Error"))</f>
        <v/>
      </c>
      <c r="AI30" s="61" t="str">
        <f aca="false">IF($AH30="","",IFERROR($AH30*(1+$D30),"Error"))</f>
        <v/>
      </c>
      <c r="AJ30" s="60" t="str">
        <f aca="false">IF($AH30="","",IFERROR($C30/$AH30-1,"Error"))</f>
        <v/>
      </c>
      <c r="AK30" s="63" t="str">
        <f aca="false">IF($AH30="","",IFERROR(IF($C30&lt;=$AH30,"OK a ese precio","Bajar costo"),"Error"))</f>
        <v/>
      </c>
    </row>
    <row r="31" customFormat="false" ht="15" hidden="false" customHeight="false" outlineLevel="0" collapsed="false">
      <c r="E31" s="0" t="str">
        <f aca="false">IF($C31="","",$C31*(1+$D31))</f>
        <v/>
      </c>
      <c r="J31" s="57"/>
      <c r="K31" s="57"/>
      <c r="L31" s="58"/>
      <c r="M31" s="59"/>
      <c r="N31" s="59"/>
      <c r="O31" s="60" t="str">
        <f aca="false">IF($M31="","",IFERROR(IF($K31="Clásica",VLOOKUP("Argentina"&amp;$J31,Datos!$C:$D,2,0),VLOOKUP("Argentina"&amp;$J31,Datos!$C:$D,2,0)+VLOOKUP("Argentina"&amp;$K31,Datos!$H:$I,2,0)),"Error"))</f>
        <v/>
      </c>
      <c r="P31" s="61" t="str">
        <f aca="false">IF($M31="","",IFERROR(-$M31*$O31,"Error"))</f>
        <v/>
      </c>
      <c r="Q31" s="61" t="str">
        <f aca="false">IF($M31="","",IFERROR(-($P31-$P31/(1+Datos!$B$2)),"Error"))</f>
        <v/>
      </c>
      <c r="R31" s="61" t="str">
        <f aca="false">IF($M31="","",IF($M31&lt;=15000,-1000,IF($M31&lt;=25000,-2000,IF($M31&lt;=33000,-2400,0))))</f>
        <v/>
      </c>
      <c r="S31" s="61" t="str">
        <f aca="false">IF($M31="","",-($R31-$R31/(1+Datos!$B$2)))</f>
        <v/>
      </c>
      <c r="T31" s="61" t="str">
        <f aca="false">IF($M31="","",-$M31/(1+$L31)*$L31)</f>
        <v/>
      </c>
      <c r="U31" s="61" t="str">
        <f aca="false">IF($M31="","",$C31*$D31)</f>
        <v/>
      </c>
      <c r="V31" s="61" t="str">
        <f aca="false">IF($M31="","",-N($N31))</f>
        <v/>
      </c>
      <c r="W31" s="61" t="str">
        <f aca="false">IF($M31="","",-($V31-$V31/(1+Datos!$B$2)))</f>
        <v/>
      </c>
      <c r="X31" s="61" t="str">
        <f aca="false">IF($M31="","",-$M31*Datos!$C$2)</f>
        <v/>
      </c>
      <c r="Y31" s="61" t="str">
        <f aca="false">IF($M31="","",IFERROR($M31+$U31+$T31+$P31+$Q31+$R31+$S31+$V31+$W31+$X31,"Error"))</f>
        <v/>
      </c>
      <c r="Z31" s="61" t="str">
        <f aca="false">IF($M31="","",IFERROR($Y31-$E31,"Error"))</f>
        <v/>
      </c>
      <c r="AA31" s="60" t="str">
        <f aca="false">IF($M31="","",IFERROR($Z31/($M31+$T31),"Error"))</f>
        <v/>
      </c>
      <c r="AB31" s="62" t="str">
        <f aca="false">IF($M31="","",IFERROR($M31/$E31,"Error"))</f>
        <v/>
      </c>
      <c r="AD31" s="59"/>
      <c r="AE31" s="57"/>
      <c r="AF31" s="58"/>
      <c r="AG31" s="60" t="str">
        <f aca="false">IF(N($AD31)=0,"",IFERROR(($AD31/(1+$L31)-($AD31*$O31+IF($AD31&lt;=15000,1000,IF($AD31&lt;=25000,2000,IF($AD31&lt;=33000,2400,0)))+N($N31))/(1+Datos!$B$2)-$AD31*Datos!$C$2-$C31)/($AD31/(1+$L31)),"Error"))</f>
        <v/>
      </c>
      <c r="AH31" s="61" t="str">
        <f aca="false">IF(N($AD31)=0,"",IFERROR($AD31/(1+$L31)*(1-$AF31)-($AD31*$O31+IF($AD31&lt;=15000,1000,IF($AD31&lt;=25000,2000,IF($AD31&lt;=33000,2400,0)))+N($N31))/(1+Datos!$B$2)-$AD31*Datos!$C$2,"Error"))</f>
        <v/>
      </c>
      <c r="AI31" s="61" t="str">
        <f aca="false">IF($AH31="","",IFERROR($AH31*(1+$D31),"Error"))</f>
        <v/>
      </c>
      <c r="AJ31" s="60" t="str">
        <f aca="false">IF($AH31="","",IFERROR($C31/$AH31-1,"Error"))</f>
        <v/>
      </c>
      <c r="AK31" s="63" t="str">
        <f aca="false">IF($AH31="","",IFERROR(IF($C31&lt;=$AH31,"OK a ese precio","Bajar costo"),"Error"))</f>
        <v/>
      </c>
    </row>
    <row r="32" customFormat="false" ht="15" hidden="false" customHeight="false" outlineLevel="0" collapsed="false">
      <c r="E32" s="0" t="str">
        <f aca="false">IF($C32="","",$C32*(1+$D32))</f>
        <v/>
      </c>
      <c r="J32" s="57"/>
      <c r="K32" s="57"/>
      <c r="L32" s="58"/>
      <c r="M32" s="59"/>
      <c r="N32" s="59"/>
      <c r="O32" s="60" t="str">
        <f aca="false">IF($M32="","",IFERROR(IF($K32="Clásica",VLOOKUP("Argentina"&amp;$J32,Datos!$C:$D,2,0),VLOOKUP("Argentina"&amp;$J32,Datos!$C:$D,2,0)+VLOOKUP("Argentina"&amp;$K32,Datos!$H:$I,2,0)),"Error"))</f>
        <v/>
      </c>
      <c r="P32" s="61" t="str">
        <f aca="false">IF($M32="","",IFERROR(-$M32*$O32,"Error"))</f>
        <v/>
      </c>
      <c r="Q32" s="61" t="str">
        <f aca="false">IF($M32="","",IFERROR(-($P32-$P32/(1+Datos!$B$2)),"Error"))</f>
        <v/>
      </c>
      <c r="R32" s="61" t="str">
        <f aca="false">IF($M32="","",IF($M32&lt;=15000,-1000,IF($M32&lt;=25000,-2000,IF($M32&lt;=33000,-2400,0))))</f>
        <v/>
      </c>
      <c r="S32" s="61" t="str">
        <f aca="false">IF($M32="","",-($R32-$R32/(1+Datos!$B$2)))</f>
        <v/>
      </c>
      <c r="T32" s="61" t="str">
        <f aca="false">IF($M32="","",-$M32/(1+$L32)*$L32)</f>
        <v/>
      </c>
      <c r="U32" s="61" t="str">
        <f aca="false">IF($M32="","",$C32*$D32)</f>
        <v/>
      </c>
      <c r="V32" s="61" t="str">
        <f aca="false">IF($M32="","",-N($N32))</f>
        <v/>
      </c>
      <c r="W32" s="61" t="str">
        <f aca="false">IF($M32="","",-($V32-$V32/(1+Datos!$B$2)))</f>
        <v/>
      </c>
      <c r="X32" s="61" t="str">
        <f aca="false">IF($M32="","",-$M32*Datos!$C$2)</f>
        <v/>
      </c>
      <c r="Y32" s="61" t="str">
        <f aca="false">IF($M32="","",IFERROR($M32+$U32+$T32+$P32+$Q32+$R32+$S32+$V32+$W32+$X32,"Error"))</f>
        <v/>
      </c>
      <c r="Z32" s="61" t="str">
        <f aca="false">IF($M32="","",IFERROR($Y32-$E32,"Error"))</f>
        <v/>
      </c>
      <c r="AA32" s="60" t="str">
        <f aca="false">IF($M32="","",IFERROR($Z32/($M32+$T32),"Error"))</f>
        <v/>
      </c>
      <c r="AB32" s="62" t="str">
        <f aca="false">IF($M32="","",IFERROR($M32/$E32,"Error"))</f>
        <v/>
      </c>
      <c r="AD32" s="59"/>
      <c r="AE32" s="57"/>
      <c r="AF32" s="58"/>
      <c r="AG32" s="60" t="str">
        <f aca="false">IF(N($AD32)=0,"",IFERROR(($AD32/(1+$L32)-($AD32*$O32+IF($AD32&lt;=15000,1000,IF($AD32&lt;=25000,2000,IF($AD32&lt;=33000,2400,0)))+N($N32))/(1+Datos!$B$2)-$AD32*Datos!$C$2-$C32)/($AD32/(1+$L32)),"Error"))</f>
        <v/>
      </c>
      <c r="AH32" s="61" t="str">
        <f aca="false">IF(N($AD32)=0,"",IFERROR($AD32/(1+$L32)*(1-$AF32)-($AD32*$O32+IF($AD32&lt;=15000,1000,IF($AD32&lt;=25000,2000,IF($AD32&lt;=33000,2400,0)))+N($N32))/(1+Datos!$B$2)-$AD32*Datos!$C$2,"Error"))</f>
        <v/>
      </c>
      <c r="AI32" s="61" t="str">
        <f aca="false">IF($AH32="","",IFERROR($AH32*(1+$D32),"Error"))</f>
        <v/>
      </c>
      <c r="AJ32" s="60" t="str">
        <f aca="false">IF($AH32="","",IFERROR($C32/$AH32-1,"Error"))</f>
        <v/>
      </c>
      <c r="AK32" s="63" t="str">
        <f aca="false">IF($AH32="","",IFERROR(IF($C32&lt;=$AH32,"OK a ese precio","Bajar costo"),"Error"))</f>
        <v/>
      </c>
    </row>
    <row r="33" customFormat="false" ht="15" hidden="false" customHeight="false" outlineLevel="0" collapsed="false">
      <c r="E33" s="0" t="str">
        <f aca="false">IF($C33="","",$C33*(1+$D33))</f>
        <v/>
      </c>
      <c r="J33" s="57"/>
      <c r="K33" s="57"/>
      <c r="L33" s="58"/>
      <c r="M33" s="59"/>
      <c r="N33" s="59"/>
      <c r="O33" s="60" t="str">
        <f aca="false">IF($M33="","",IFERROR(IF($K33="Clásica",VLOOKUP("Argentina"&amp;$J33,Datos!$C:$D,2,0),VLOOKUP("Argentina"&amp;$J33,Datos!$C:$D,2,0)+VLOOKUP("Argentina"&amp;$K33,Datos!$H:$I,2,0)),"Error"))</f>
        <v/>
      </c>
      <c r="P33" s="61" t="str">
        <f aca="false">IF($M33="","",IFERROR(-$M33*$O33,"Error"))</f>
        <v/>
      </c>
      <c r="Q33" s="61" t="str">
        <f aca="false">IF($M33="","",IFERROR(-($P33-$P33/(1+Datos!$B$2)),"Error"))</f>
        <v/>
      </c>
      <c r="R33" s="61" t="str">
        <f aca="false">IF($M33="","",IF($M33&lt;=15000,-1000,IF($M33&lt;=25000,-2000,IF($M33&lt;=33000,-2400,0))))</f>
        <v/>
      </c>
      <c r="S33" s="61" t="str">
        <f aca="false">IF($M33="","",-($R33-$R33/(1+Datos!$B$2)))</f>
        <v/>
      </c>
      <c r="T33" s="61" t="str">
        <f aca="false">IF($M33="","",-$M33/(1+$L33)*$L33)</f>
        <v/>
      </c>
      <c r="U33" s="61" t="str">
        <f aca="false">IF($M33="","",$C33*$D33)</f>
        <v/>
      </c>
      <c r="V33" s="61" t="str">
        <f aca="false">IF($M33="","",-N($N33))</f>
        <v/>
      </c>
      <c r="W33" s="61" t="str">
        <f aca="false">IF($M33="","",-($V33-$V33/(1+Datos!$B$2)))</f>
        <v/>
      </c>
      <c r="X33" s="61" t="str">
        <f aca="false">IF($M33="","",-$M33*Datos!$C$2)</f>
        <v/>
      </c>
      <c r="Y33" s="61" t="str">
        <f aca="false">IF($M33="","",IFERROR($M33+$U33+$T33+$P33+$Q33+$R33+$S33+$V33+$W33+$X33,"Error"))</f>
        <v/>
      </c>
      <c r="Z33" s="61" t="str">
        <f aca="false">IF($M33="","",IFERROR($Y33-$E33,"Error"))</f>
        <v/>
      </c>
      <c r="AA33" s="60" t="str">
        <f aca="false">IF($M33="","",IFERROR($Z33/($M33+$T33),"Error"))</f>
        <v/>
      </c>
      <c r="AB33" s="62" t="str">
        <f aca="false">IF($M33="","",IFERROR($M33/$E33,"Error"))</f>
        <v/>
      </c>
      <c r="AD33" s="59"/>
      <c r="AE33" s="57"/>
      <c r="AF33" s="58"/>
      <c r="AG33" s="60" t="str">
        <f aca="false">IF(N($AD33)=0,"",IFERROR(($AD33/(1+$L33)-($AD33*$O33+IF($AD33&lt;=15000,1000,IF($AD33&lt;=25000,2000,IF($AD33&lt;=33000,2400,0)))+N($N33))/(1+Datos!$B$2)-$AD33*Datos!$C$2-$C33)/($AD33/(1+$L33)),"Error"))</f>
        <v/>
      </c>
      <c r="AH33" s="61" t="str">
        <f aca="false">IF(N($AD33)=0,"",IFERROR($AD33/(1+$L33)*(1-$AF33)-($AD33*$O33+IF($AD33&lt;=15000,1000,IF($AD33&lt;=25000,2000,IF($AD33&lt;=33000,2400,0)))+N($N33))/(1+Datos!$B$2)-$AD33*Datos!$C$2,"Error"))</f>
        <v/>
      </c>
      <c r="AI33" s="61" t="str">
        <f aca="false">IF($AH33="","",IFERROR($AH33*(1+$D33),"Error"))</f>
        <v/>
      </c>
      <c r="AJ33" s="60" t="str">
        <f aca="false">IF($AH33="","",IFERROR($C33/$AH33-1,"Error"))</f>
        <v/>
      </c>
      <c r="AK33" s="63" t="str">
        <f aca="false">IF($AH33="","",IFERROR(IF($C33&lt;=$AH33,"OK a ese precio","Bajar costo"),"Error"))</f>
        <v/>
      </c>
    </row>
    <row r="34" customFormat="false" ht="15" hidden="false" customHeight="false" outlineLevel="0" collapsed="false">
      <c r="E34" s="0" t="str">
        <f aca="false">IF($C34="","",$C34*(1+$D34))</f>
        <v/>
      </c>
      <c r="J34" s="57"/>
      <c r="K34" s="57"/>
      <c r="L34" s="58"/>
      <c r="M34" s="59"/>
      <c r="N34" s="59"/>
      <c r="O34" s="60" t="str">
        <f aca="false">IF($M34="","",IFERROR(IF($K34="Clásica",VLOOKUP("Argentina"&amp;$J34,Datos!$C:$D,2,0),VLOOKUP("Argentina"&amp;$J34,Datos!$C:$D,2,0)+VLOOKUP("Argentina"&amp;$K34,Datos!$H:$I,2,0)),"Error"))</f>
        <v/>
      </c>
      <c r="P34" s="61" t="str">
        <f aca="false">IF($M34="","",IFERROR(-$M34*$O34,"Error"))</f>
        <v/>
      </c>
      <c r="Q34" s="61" t="str">
        <f aca="false">IF($M34="","",IFERROR(-($P34-$P34/(1+Datos!$B$2)),"Error"))</f>
        <v/>
      </c>
      <c r="R34" s="61" t="str">
        <f aca="false">IF($M34="","",IF($M34&lt;=15000,-1000,IF($M34&lt;=25000,-2000,IF($M34&lt;=33000,-2400,0))))</f>
        <v/>
      </c>
      <c r="S34" s="61" t="str">
        <f aca="false">IF($M34="","",-($R34-$R34/(1+Datos!$B$2)))</f>
        <v/>
      </c>
      <c r="T34" s="61" t="str">
        <f aca="false">IF($M34="","",-$M34/(1+$L34)*$L34)</f>
        <v/>
      </c>
      <c r="U34" s="61" t="str">
        <f aca="false">IF($M34="","",$C34*$D34)</f>
        <v/>
      </c>
      <c r="V34" s="61" t="str">
        <f aca="false">IF($M34="","",-N($N34))</f>
        <v/>
      </c>
      <c r="W34" s="61" t="str">
        <f aca="false">IF($M34="","",-($V34-$V34/(1+Datos!$B$2)))</f>
        <v/>
      </c>
      <c r="X34" s="61" t="str">
        <f aca="false">IF($M34="","",-$M34*Datos!$C$2)</f>
        <v/>
      </c>
      <c r="Y34" s="61" t="str">
        <f aca="false">IF($M34="","",IFERROR($M34+$U34+$T34+$P34+$Q34+$R34+$S34+$V34+$W34+$X34,"Error"))</f>
        <v/>
      </c>
      <c r="Z34" s="61" t="str">
        <f aca="false">IF($M34="","",IFERROR($Y34-$E34,"Error"))</f>
        <v/>
      </c>
      <c r="AA34" s="60" t="str">
        <f aca="false">IF($M34="","",IFERROR($Z34/($M34+$T34),"Error"))</f>
        <v/>
      </c>
      <c r="AB34" s="62" t="str">
        <f aca="false">IF($M34="","",IFERROR($M34/$E34,"Error"))</f>
        <v/>
      </c>
      <c r="AD34" s="59"/>
      <c r="AE34" s="57"/>
      <c r="AF34" s="58"/>
      <c r="AG34" s="60" t="str">
        <f aca="false">IF(N($AD34)=0,"",IFERROR(($AD34/(1+$L34)-($AD34*$O34+IF($AD34&lt;=15000,1000,IF($AD34&lt;=25000,2000,IF($AD34&lt;=33000,2400,0)))+N($N34))/(1+Datos!$B$2)-$AD34*Datos!$C$2-$C34)/($AD34/(1+$L34)),"Error"))</f>
        <v/>
      </c>
      <c r="AH34" s="61" t="str">
        <f aca="false">IF(N($AD34)=0,"",IFERROR($AD34/(1+$L34)*(1-$AF34)-($AD34*$O34+IF($AD34&lt;=15000,1000,IF($AD34&lt;=25000,2000,IF($AD34&lt;=33000,2400,0)))+N($N34))/(1+Datos!$B$2)-$AD34*Datos!$C$2,"Error"))</f>
        <v/>
      </c>
      <c r="AI34" s="61" t="str">
        <f aca="false">IF($AH34="","",IFERROR($AH34*(1+$D34),"Error"))</f>
        <v/>
      </c>
      <c r="AJ34" s="60" t="str">
        <f aca="false">IF($AH34="","",IFERROR($C34/$AH34-1,"Error"))</f>
        <v/>
      </c>
      <c r="AK34" s="63" t="str">
        <f aca="false">IF($AH34="","",IFERROR(IF($C34&lt;=$AH34,"OK a ese precio","Bajar costo"),"Error"))</f>
        <v/>
      </c>
    </row>
    <row r="35" customFormat="false" ht="15" hidden="false" customHeight="false" outlineLevel="0" collapsed="false">
      <c r="E35" s="0" t="str">
        <f aca="false">IF($C35="","",$C35*(1+$D35))</f>
        <v/>
      </c>
      <c r="J35" s="57"/>
      <c r="K35" s="57"/>
      <c r="L35" s="58"/>
      <c r="M35" s="59"/>
      <c r="N35" s="59"/>
      <c r="O35" s="60" t="str">
        <f aca="false">IF($M35="","",IFERROR(IF($K35="Clásica",VLOOKUP("Argentina"&amp;$J35,Datos!$C:$D,2,0),VLOOKUP("Argentina"&amp;$J35,Datos!$C:$D,2,0)+VLOOKUP("Argentina"&amp;$K35,Datos!$H:$I,2,0)),"Error"))</f>
        <v/>
      </c>
      <c r="P35" s="61" t="str">
        <f aca="false">IF($M35="","",IFERROR(-$M35*$O35,"Error"))</f>
        <v/>
      </c>
      <c r="Q35" s="61" t="str">
        <f aca="false">IF($M35="","",IFERROR(-($P35-$P35/(1+Datos!$B$2)),"Error"))</f>
        <v/>
      </c>
      <c r="R35" s="61" t="str">
        <f aca="false">IF($M35="","",IF($M35&lt;=15000,-1000,IF($M35&lt;=25000,-2000,IF($M35&lt;=33000,-2400,0))))</f>
        <v/>
      </c>
      <c r="S35" s="61" t="str">
        <f aca="false">IF($M35="","",-($R35-$R35/(1+Datos!$B$2)))</f>
        <v/>
      </c>
      <c r="T35" s="61" t="str">
        <f aca="false">IF($M35="","",-$M35/(1+$L35)*$L35)</f>
        <v/>
      </c>
      <c r="U35" s="61" t="str">
        <f aca="false">IF($M35="","",$C35*$D35)</f>
        <v/>
      </c>
      <c r="V35" s="61" t="str">
        <f aca="false">IF($M35="","",-N($N35))</f>
        <v/>
      </c>
      <c r="W35" s="61" t="str">
        <f aca="false">IF($M35="","",-($V35-$V35/(1+Datos!$B$2)))</f>
        <v/>
      </c>
      <c r="X35" s="61" t="str">
        <f aca="false">IF($M35="","",-$M35*Datos!$C$2)</f>
        <v/>
      </c>
      <c r="Y35" s="61" t="str">
        <f aca="false">IF($M35="","",IFERROR($M35+$U35+$T35+$P35+$Q35+$R35+$S35+$V35+$W35+$X35,"Error"))</f>
        <v/>
      </c>
      <c r="Z35" s="61" t="str">
        <f aca="false">IF($M35="","",IFERROR($Y35-$E35,"Error"))</f>
        <v/>
      </c>
      <c r="AA35" s="60" t="str">
        <f aca="false">IF($M35="","",IFERROR($Z35/($M35+$T35),"Error"))</f>
        <v/>
      </c>
      <c r="AB35" s="62" t="str">
        <f aca="false">IF($M35="","",IFERROR($M35/$E35,"Error"))</f>
        <v/>
      </c>
      <c r="AD35" s="59"/>
      <c r="AE35" s="57"/>
      <c r="AF35" s="58"/>
      <c r="AG35" s="60" t="str">
        <f aca="false">IF(N($AD35)=0,"",IFERROR(($AD35/(1+$L35)-($AD35*$O35+IF($AD35&lt;=15000,1000,IF($AD35&lt;=25000,2000,IF($AD35&lt;=33000,2400,0)))+N($N35))/(1+Datos!$B$2)-$AD35*Datos!$C$2-$C35)/($AD35/(1+$L35)),"Error"))</f>
        <v/>
      </c>
      <c r="AH35" s="61" t="str">
        <f aca="false">IF(N($AD35)=0,"",IFERROR($AD35/(1+$L35)*(1-$AF35)-($AD35*$O35+IF($AD35&lt;=15000,1000,IF($AD35&lt;=25000,2000,IF($AD35&lt;=33000,2400,0)))+N($N35))/(1+Datos!$B$2)-$AD35*Datos!$C$2,"Error"))</f>
        <v/>
      </c>
      <c r="AI35" s="61" t="str">
        <f aca="false">IF($AH35="","",IFERROR($AH35*(1+$D35),"Error"))</f>
        <v/>
      </c>
      <c r="AJ35" s="60" t="str">
        <f aca="false">IF($AH35="","",IFERROR($C35/$AH35-1,"Error"))</f>
        <v/>
      </c>
      <c r="AK35" s="63" t="str">
        <f aca="false">IF($AH35="","",IFERROR(IF($C35&lt;=$AH35,"OK a ese precio","Bajar costo"),"Error"))</f>
        <v/>
      </c>
    </row>
    <row r="36" customFormat="false" ht="15" hidden="false" customHeight="false" outlineLevel="0" collapsed="false">
      <c r="E36" s="0" t="str">
        <f aca="false">IF($C36="","",$C36*(1+$D36))</f>
        <v/>
      </c>
      <c r="J36" s="57"/>
      <c r="K36" s="57"/>
      <c r="L36" s="58"/>
      <c r="M36" s="59"/>
      <c r="N36" s="59"/>
      <c r="O36" s="60" t="str">
        <f aca="false">IF($M36="","",IFERROR(IF($K36="Clásica",VLOOKUP("Argentina"&amp;$J36,Datos!$C:$D,2,0),VLOOKUP("Argentina"&amp;$J36,Datos!$C:$D,2,0)+VLOOKUP("Argentina"&amp;$K36,Datos!$H:$I,2,0)),"Error"))</f>
        <v/>
      </c>
      <c r="P36" s="61" t="str">
        <f aca="false">IF($M36="","",IFERROR(-$M36*$O36,"Error"))</f>
        <v/>
      </c>
      <c r="Q36" s="61" t="str">
        <f aca="false">IF($M36="","",IFERROR(-($P36-$P36/(1+Datos!$B$2)),"Error"))</f>
        <v/>
      </c>
      <c r="R36" s="61" t="str">
        <f aca="false">IF($M36="","",IF($M36&lt;=15000,-1000,IF($M36&lt;=25000,-2000,IF($M36&lt;=33000,-2400,0))))</f>
        <v/>
      </c>
      <c r="S36" s="61" t="str">
        <f aca="false">IF($M36="","",-($R36-$R36/(1+Datos!$B$2)))</f>
        <v/>
      </c>
      <c r="T36" s="61" t="str">
        <f aca="false">IF($M36="","",-$M36/(1+$L36)*$L36)</f>
        <v/>
      </c>
      <c r="U36" s="61" t="str">
        <f aca="false">IF($M36="","",$C36*$D36)</f>
        <v/>
      </c>
      <c r="V36" s="61" t="str">
        <f aca="false">IF($M36="","",-N($N36))</f>
        <v/>
      </c>
      <c r="W36" s="61" t="str">
        <f aca="false">IF($M36="","",-($V36-$V36/(1+Datos!$B$2)))</f>
        <v/>
      </c>
      <c r="X36" s="61" t="str">
        <f aca="false">IF($M36="","",-$M36*Datos!$C$2)</f>
        <v/>
      </c>
      <c r="Y36" s="61" t="str">
        <f aca="false">IF($M36="","",IFERROR($M36+$U36+$T36+$P36+$Q36+$R36+$S36+$V36+$W36+$X36,"Error"))</f>
        <v/>
      </c>
      <c r="Z36" s="61" t="str">
        <f aca="false">IF($M36="","",IFERROR($Y36-$E36,"Error"))</f>
        <v/>
      </c>
      <c r="AA36" s="60" t="str">
        <f aca="false">IF($M36="","",IFERROR($Z36/($M36+$T36),"Error"))</f>
        <v/>
      </c>
      <c r="AB36" s="62" t="str">
        <f aca="false">IF($M36="","",IFERROR($M36/$E36,"Error"))</f>
        <v/>
      </c>
      <c r="AD36" s="59"/>
      <c r="AE36" s="57"/>
      <c r="AF36" s="58"/>
      <c r="AG36" s="60" t="str">
        <f aca="false">IF(N($AD36)=0,"",IFERROR(($AD36/(1+$L36)-($AD36*$O36+IF($AD36&lt;=15000,1000,IF($AD36&lt;=25000,2000,IF($AD36&lt;=33000,2400,0)))+N($N36))/(1+Datos!$B$2)-$AD36*Datos!$C$2-$C36)/($AD36/(1+$L36)),"Error"))</f>
        <v/>
      </c>
      <c r="AH36" s="61" t="str">
        <f aca="false">IF(N($AD36)=0,"",IFERROR($AD36/(1+$L36)*(1-$AF36)-($AD36*$O36+IF($AD36&lt;=15000,1000,IF($AD36&lt;=25000,2000,IF($AD36&lt;=33000,2400,0)))+N($N36))/(1+Datos!$B$2)-$AD36*Datos!$C$2,"Error"))</f>
        <v/>
      </c>
      <c r="AI36" s="61" t="str">
        <f aca="false">IF($AH36="","",IFERROR($AH36*(1+$D36),"Error"))</f>
        <v/>
      </c>
      <c r="AJ36" s="60" t="str">
        <f aca="false">IF($AH36="","",IFERROR($C36/$AH36-1,"Error"))</f>
        <v/>
      </c>
      <c r="AK36" s="63" t="str">
        <f aca="false">IF($AH36="","",IFERROR(IF($C36&lt;=$AH36,"OK a ese precio","Bajar costo"),"Error"))</f>
        <v/>
      </c>
    </row>
    <row r="37" customFormat="false" ht="15" hidden="false" customHeight="false" outlineLevel="0" collapsed="false">
      <c r="E37" s="0" t="str">
        <f aca="false">IF($C37="","",$C37*(1+$D37))</f>
        <v/>
      </c>
      <c r="J37" s="57"/>
      <c r="K37" s="57"/>
      <c r="L37" s="58"/>
      <c r="M37" s="59"/>
      <c r="N37" s="59"/>
      <c r="O37" s="60" t="str">
        <f aca="false">IF($M37="","",IFERROR(IF($K37="Clásica",VLOOKUP("Argentina"&amp;$J37,Datos!$C:$D,2,0),VLOOKUP("Argentina"&amp;$J37,Datos!$C:$D,2,0)+VLOOKUP("Argentina"&amp;$K37,Datos!$H:$I,2,0)),"Error"))</f>
        <v/>
      </c>
      <c r="P37" s="61" t="str">
        <f aca="false">IF($M37="","",IFERROR(-$M37*$O37,"Error"))</f>
        <v/>
      </c>
      <c r="Q37" s="61" t="str">
        <f aca="false">IF($M37="","",IFERROR(-($P37-$P37/(1+Datos!$B$2)),"Error"))</f>
        <v/>
      </c>
      <c r="R37" s="61" t="str">
        <f aca="false">IF($M37="","",IF($M37&lt;=15000,-1000,IF($M37&lt;=25000,-2000,IF($M37&lt;=33000,-2400,0))))</f>
        <v/>
      </c>
      <c r="S37" s="61" t="str">
        <f aca="false">IF($M37="","",-($R37-$R37/(1+Datos!$B$2)))</f>
        <v/>
      </c>
      <c r="T37" s="61" t="str">
        <f aca="false">IF($M37="","",-$M37/(1+$L37)*$L37)</f>
        <v/>
      </c>
      <c r="U37" s="61" t="str">
        <f aca="false">IF($M37="","",$C37*$D37)</f>
        <v/>
      </c>
      <c r="V37" s="61" t="str">
        <f aca="false">IF($M37="","",-N($N37))</f>
        <v/>
      </c>
      <c r="W37" s="61" t="str">
        <f aca="false">IF($M37="","",-($V37-$V37/(1+Datos!$B$2)))</f>
        <v/>
      </c>
      <c r="X37" s="61" t="str">
        <f aca="false">IF($M37="","",-$M37*Datos!$C$2)</f>
        <v/>
      </c>
      <c r="Y37" s="61" t="str">
        <f aca="false">IF($M37="","",IFERROR($M37+$U37+$T37+$P37+$Q37+$R37+$S37+$V37+$W37+$X37,"Error"))</f>
        <v/>
      </c>
      <c r="Z37" s="61" t="str">
        <f aca="false">IF($M37="","",IFERROR($Y37-$E37,"Error"))</f>
        <v/>
      </c>
      <c r="AA37" s="60" t="str">
        <f aca="false">IF($M37="","",IFERROR($Z37/($M37+$T37),"Error"))</f>
        <v/>
      </c>
      <c r="AB37" s="62" t="str">
        <f aca="false">IF($M37="","",IFERROR($M37/$E37,"Error"))</f>
        <v/>
      </c>
      <c r="AD37" s="59"/>
      <c r="AE37" s="57"/>
      <c r="AF37" s="58"/>
      <c r="AG37" s="60" t="str">
        <f aca="false">IF(N($AD37)=0,"",IFERROR(($AD37/(1+$L37)-($AD37*$O37+IF($AD37&lt;=15000,1000,IF($AD37&lt;=25000,2000,IF($AD37&lt;=33000,2400,0)))+N($N37))/(1+Datos!$B$2)-$AD37*Datos!$C$2-$C37)/($AD37/(1+$L37)),"Error"))</f>
        <v/>
      </c>
      <c r="AH37" s="61" t="str">
        <f aca="false">IF(N($AD37)=0,"",IFERROR($AD37/(1+$L37)*(1-$AF37)-($AD37*$O37+IF($AD37&lt;=15000,1000,IF($AD37&lt;=25000,2000,IF($AD37&lt;=33000,2400,0)))+N($N37))/(1+Datos!$B$2)-$AD37*Datos!$C$2,"Error"))</f>
        <v/>
      </c>
      <c r="AI37" s="61" t="str">
        <f aca="false">IF($AH37="","",IFERROR($AH37*(1+$D37),"Error"))</f>
        <v/>
      </c>
      <c r="AJ37" s="60" t="str">
        <f aca="false">IF($AH37="","",IFERROR($C37/$AH37-1,"Error"))</f>
        <v/>
      </c>
      <c r="AK37" s="63" t="str">
        <f aca="false">IF($AH37="","",IFERROR(IF($C37&lt;=$AH37,"OK a ese precio","Bajar costo"),"Error"))</f>
        <v/>
      </c>
    </row>
    <row r="38" customFormat="false" ht="15" hidden="false" customHeight="false" outlineLevel="0" collapsed="false">
      <c r="E38" s="0" t="str">
        <f aca="false">IF($C38="","",$C38*(1+$D38))</f>
        <v/>
      </c>
      <c r="J38" s="57"/>
      <c r="K38" s="57"/>
      <c r="L38" s="58"/>
      <c r="M38" s="59"/>
      <c r="N38" s="59"/>
      <c r="O38" s="60" t="str">
        <f aca="false">IF($M38="","",IFERROR(IF($K38="Clásica",VLOOKUP("Argentina"&amp;$J38,Datos!$C:$D,2,0),VLOOKUP("Argentina"&amp;$J38,Datos!$C:$D,2,0)+VLOOKUP("Argentina"&amp;$K38,Datos!$H:$I,2,0)),"Error"))</f>
        <v/>
      </c>
      <c r="P38" s="61" t="str">
        <f aca="false">IF($M38="","",IFERROR(-$M38*$O38,"Error"))</f>
        <v/>
      </c>
      <c r="Q38" s="61" t="str">
        <f aca="false">IF($M38="","",IFERROR(-($P38-$P38/(1+Datos!$B$2)),"Error"))</f>
        <v/>
      </c>
      <c r="R38" s="61" t="str">
        <f aca="false">IF($M38="","",IF($M38&lt;=15000,-1000,IF($M38&lt;=25000,-2000,IF($M38&lt;=33000,-2400,0))))</f>
        <v/>
      </c>
      <c r="S38" s="61" t="str">
        <f aca="false">IF($M38="","",-($R38-$R38/(1+Datos!$B$2)))</f>
        <v/>
      </c>
      <c r="T38" s="61" t="str">
        <f aca="false">IF($M38="","",-$M38/(1+$L38)*$L38)</f>
        <v/>
      </c>
      <c r="U38" s="61" t="str">
        <f aca="false">IF($M38="","",$C38*$D38)</f>
        <v/>
      </c>
      <c r="V38" s="61" t="str">
        <f aca="false">IF($M38="","",-N($N38))</f>
        <v/>
      </c>
      <c r="W38" s="61" t="str">
        <f aca="false">IF($M38="","",-($V38-$V38/(1+Datos!$B$2)))</f>
        <v/>
      </c>
      <c r="X38" s="61" t="str">
        <f aca="false">IF($M38="","",-$M38*Datos!$C$2)</f>
        <v/>
      </c>
      <c r="Y38" s="61" t="str">
        <f aca="false">IF($M38="","",IFERROR($M38+$U38+$T38+$P38+$Q38+$R38+$S38+$V38+$W38+$X38,"Error"))</f>
        <v/>
      </c>
      <c r="Z38" s="61" t="str">
        <f aca="false">IF($M38="","",IFERROR($Y38-$E38,"Error"))</f>
        <v/>
      </c>
      <c r="AA38" s="60" t="str">
        <f aca="false">IF($M38="","",IFERROR($Z38/($M38+$T38),"Error"))</f>
        <v/>
      </c>
      <c r="AB38" s="62" t="str">
        <f aca="false">IF($M38="","",IFERROR($M38/$E38,"Error"))</f>
        <v/>
      </c>
      <c r="AD38" s="59"/>
      <c r="AE38" s="57"/>
      <c r="AF38" s="58"/>
      <c r="AG38" s="60" t="str">
        <f aca="false">IF(N($AD38)=0,"",IFERROR(($AD38/(1+$L38)-($AD38*$O38+IF($AD38&lt;=15000,1000,IF($AD38&lt;=25000,2000,IF($AD38&lt;=33000,2400,0)))+N($N38))/(1+Datos!$B$2)-$AD38*Datos!$C$2-$C38)/($AD38/(1+$L38)),"Error"))</f>
        <v/>
      </c>
      <c r="AH38" s="61" t="str">
        <f aca="false">IF(N($AD38)=0,"",IFERROR($AD38/(1+$L38)*(1-$AF38)-($AD38*$O38+IF($AD38&lt;=15000,1000,IF($AD38&lt;=25000,2000,IF($AD38&lt;=33000,2400,0)))+N($N38))/(1+Datos!$B$2)-$AD38*Datos!$C$2,"Error"))</f>
        <v/>
      </c>
      <c r="AI38" s="61" t="str">
        <f aca="false">IF($AH38="","",IFERROR($AH38*(1+$D38),"Error"))</f>
        <v/>
      </c>
      <c r="AJ38" s="60" t="str">
        <f aca="false">IF($AH38="","",IFERROR($C38/$AH38-1,"Error"))</f>
        <v/>
      </c>
      <c r="AK38" s="63" t="str">
        <f aca="false">IF($AH38="","",IFERROR(IF($C38&lt;=$AH38,"OK a ese precio","Bajar costo"),"Error"))</f>
        <v/>
      </c>
    </row>
    <row r="39" customFormat="false" ht="15" hidden="false" customHeight="false" outlineLevel="0" collapsed="false">
      <c r="E39" s="0" t="str">
        <f aca="false">IF($C39="","",$C39*(1+$D39))</f>
        <v/>
      </c>
      <c r="J39" s="57"/>
      <c r="K39" s="57"/>
      <c r="L39" s="58"/>
      <c r="M39" s="59"/>
      <c r="N39" s="59"/>
      <c r="O39" s="60" t="str">
        <f aca="false">IF($M39="","",IFERROR(IF($K39="Clásica",VLOOKUP("Argentina"&amp;$J39,Datos!$C:$D,2,0),VLOOKUP("Argentina"&amp;$J39,Datos!$C:$D,2,0)+VLOOKUP("Argentina"&amp;$K39,Datos!$H:$I,2,0)),"Error"))</f>
        <v/>
      </c>
      <c r="P39" s="61" t="str">
        <f aca="false">IF($M39="","",IFERROR(-$M39*$O39,"Error"))</f>
        <v/>
      </c>
      <c r="Q39" s="61" t="str">
        <f aca="false">IF($M39="","",IFERROR(-($P39-$P39/(1+Datos!$B$2)),"Error"))</f>
        <v/>
      </c>
      <c r="R39" s="61" t="str">
        <f aca="false">IF($M39="","",IF($M39&lt;=15000,-1000,IF($M39&lt;=25000,-2000,IF($M39&lt;=33000,-2400,0))))</f>
        <v/>
      </c>
      <c r="S39" s="61" t="str">
        <f aca="false">IF($M39="","",-($R39-$R39/(1+Datos!$B$2)))</f>
        <v/>
      </c>
      <c r="T39" s="61" t="str">
        <f aca="false">IF($M39="","",-$M39/(1+$L39)*$L39)</f>
        <v/>
      </c>
      <c r="U39" s="61" t="str">
        <f aca="false">IF($M39="","",$C39*$D39)</f>
        <v/>
      </c>
      <c r="V39" s="61" t="str">
        <f aca="false">IF($M39="","",-N($N39))</f>
        <v/>
      </c>
      <c r="W39" s="61" t="str">
        <f aca="false">IF($M39="","",-($V39-$V39/(1+Datos!$B$2)))</f>
        <v/>
      </c>
      <c r="X39" s="61" t="str">
        <f aca="false">IF($M39="","",-$M39*Datos!$C$2)</f>
        <v/>
      </c>
      <c r="Y39" s="61" t="str">
        <f aca="false">IF($M39="","",IFERROR($M39+$U39+$T39+$P39+$Q39+$R39+$S39+$V39+$W39+$X39,"Error"))</f>
        <v/>
      </c>
      <c r="Z39" s="61" t="str">
        <f aca="false">IF($M39="","",IFERROR($Y39-$E39,"Error"))</f>
        <v/>
      </c>
      <c r="AA39" s="60" t="str">
        <f aca="false">IF($M39="","",IFERROR($Z39/($M39+$T39),"Error"))</f>
        <v/>
      </c>
      <c r="AB39" s="62" t="str">
        <f aca="false">IF($M39="","",IFERROR($M39/$E39,"Error"))</f>
        <v/>
      </c>
      <c r="AD39" s="59"/>
      <c r="AE39" s="57"/>
      <c r="AF39" s="58"/>
      <c r="AG39" s="60" t="str">
        <f aca="false">IF(N($AD39)=0,"",IFERROR(($AD39/(1+$L39)-($AD39*$O39+IF($AD39&lt;=15000,1000,IF($AD39&lt;=25000,2000,IF($AD39&lt;=33000,2400,0)))+N($N39))/(1+Datos!$B$2)-$AD39*Datos!$C$2-$C39)/($AD39/(1+$L39)),"Error"))</f>
        <v/>
      </c>
      <c r="AH39" s="61" t="str">
        <f aca="false">IF(N($AD39)=0,"",IFERROR($AD39/(1+$L39)*(1-$AF39)-($AD39*$O39+IF($AD39&lt;=15000,1000,IF($AD39&lt;=25000,2000,IF($AD39&lt;=33000,2400,0)))+N($N39))/(1+Datos!$B$2)-$AD39*Datos!$C$2,"Error"))</f>
        <v/>
      </c>
      <c r="AI39" s="61" t="str">
        <f aca="false">IF($AH39="","",IFERROR($AH39*(1+$D39),"Error"))</f>
        <v/>
      </c>
      <c r="AJ39" s="60" t="str">
        <f aca="false">IF($AH39="","",IFERROR($C39/$AH39-1,"Error"))</f>
        <v/>
      </c>
      <c r="AK39" s="63" t="str">
        <f aca="false">IF($AH39="","",IFERROR(IF($C39&lt;=$AH39,"OK a ese precio","Bajar costo"),"Error"))</f>
        <v/>
      </c>
    </row>
    <row r="40" customFormat="false" ht="15" hidden="false" customHeight="false" outlineLevel="0" collapsed="false">
      <c r="E40" s="0" t="str">
        <f aca="false">IF($C40="","",$C40*(1+$D40))</f>
        <v/>
      </c>
      <c r="J40" s="57"/>
      <c r="K40" s="57"/>
      <c r="L40" s="58"/>
      <c r="M40" s="59"/>
      <c r="N40" s="59"/>
      <c r="O40" s="60" t="str">
        <f aca="false">IF($M40="","",IFERROR(IF($K40="Clásica",VLOOKUP("Argentina"&amp;$J40,Datos!$C:$D,2,0),VLOOKUP("Argentina"&amp;$J40,Datos!$C:$D,2,0)+VLOOKUP("Argentina"&amp;$K40,Datos!$H:$I,2,0)),"Error"))</f>
        <v/>
      </c>
      <c r="P40" s="61" t="str">
        <f aca="false">IF($M40="","",IFERROR(-$M40*$O40,"Error"))</f>
        <v/>
      </c>
      <c r="Q40" s="61" t="str">
        <f aca="false">IF($M40="","",IFERROR(-($P40-$P40/(1+Datos!$B$2)),"Error"))</f>
        <v/>
      </c>
      <c r="R40" s="61" t="str">
        <f aca="false">IF($M40="","",IF($M40&lt;=15000,-1000,IF($M40&lt;=25000,-2000,IF($M40&lt;=33000,-2400,0))))</f>
        <v/>
      </c>
      <c r="S40" s="61" t="str">
        <f aca="false">IF($M40="","",-($R40-$R40/(1+Datos!$B$2)))</f>
        <v/>
      </c>
      <c r="T40" s="61" t="str">
        <f aca="false">IF($M40="","",-$M40/(1+$L40)*$L40)</f>
        <v/>
      </c>
      <c r="U40" s="61" t="str">
        <f aca="false">IF($M40="","",$C40*$D40)</f>
        <v/>
      </c>
      <c r="V40" s="61" t="str">
        <f aca="false">IF($M40="","",-N($N40))</f>
        <v/>
      </c>
      <c r="W40" s="61" t="str">
        <f aca="false">IF($M40="","",-($V40-$V40/(1+Datos!$B$2)))</f>
        <v/>
      </c>
      <c r="X40" s="61" t="str">
        <f aca="false">IF($M40="","",-$M40*Datos!$C$2)</f>
        <v/>
      </c>
      <c r="Y40" s="61" t="str">
        <f aca="false">IF($M40="","",IFERROR($M40+$U40+$T40+$P40+$Q40+$R40+$S40+$V40+$W40+$X40,"Error"))</f>
        <v/>
      </c>
      <c r="Z40" s="61" t="str">
        <f aca="false">IF($M40="","",IFERROR($Y40-$E40,"Error"))</f>
        <v/>
      </c>
      <c r="AA40" s="60" t="str">
        <f aca="false">IF($M40="","",IFERROR($Z40/($M40+$T40),"Error"))</f>
        <v/>
      </c>
      <c r="AB40" s="62" t="str">
        <f aca="false">IF($M40="","",IFERROR($M40/$E40,"Error"))</f>
        <v/>
      </c>
      <c r="AD40" s="59"/>
      <c r="AE40" s="57"/>
      <c r="AF40" s="58"/>
      <c r="AG40" s="60" t="str">
        <f aca="false">IF(N($AD40)=0,"",IFERROR(($AD40/(1+$L40)-($AD40*$O40+IF($AD40&lt;=15000,1000,IF($AD40&lt;=25000,2000,IF($AD40&lt;=33000,2400,0)))+N($N40))/(1+Datos!$B$2)-$AD40*Datos!$C$2-$C40)/($AD40/(1+$L40)),"Error"))</f>
        <v/>
      </c>
      <c r="AH40" s="61" t="str">
        <f aca="false">IF(N($AD40)=0,"",IFERROR($AD40/(1+$L40)*(1-$AF40)-($AD40*$O40+IF($AD40&lt;=15000,1000,IF($AD40&lt;=25000,2000,IF($AD40&lt;=33000,2400,0)))+N($N40))/(1+Datos!$B$2)-$AD40*Datos!$C$2,"Error"))</f>
        <v/>
      </c>
      <c r="AI40" s="61" t="str">
        <f aca="false">IF($AH40="","",IFERROR($AH40*(1+$D40),"Error"))</f>
        <v/>
      </c>
      <c r="AJ40" s="60" t="str">
        <f aca="false">IF($AH40="","",IFERROR($C40/$AH40-1,"Error"))</f>
        <v/>
      </c>
      <c r="AK40" s="63" t="str">
        <f aca="false">IF($AH40="","",IFERROR(IF($C40&lt;=$AH40,"OK a ese precio","Bajar costo"),"Error"))</f>
        <v/>
      </c>
    </row>
    <row r="41" customFormat="false" ht="15" hidden="false" customHeight="false" outlineLevel="0" collapsed="false">
      <c r="E41" s="0" t="str">
        <f aca="false">IF($C41="","",$C41*(1+$D41))</f>
        <v/>
      </c>
      <c r="J41" s="57"/>
      <c r="K41" s="57"/>
      <c r="L41" s="58"/>
      <c r="M41" s="59"/>
      <c r="N41" s="59"/>
      <c r="O41" s="60" t="str">
        <f aca="false">IF($M41="","",IFERROR(IF($K41="Clásica",VLOOKUP("Argentina"&amp;$J41,Datos!$C:$D,2,0),VLOOKUP("Argentina"&amp;$J41,Datos!$C:$D,2,0)+VLOOKUP("Argentina"&amp;$K41,Datos!$H:$I,2,0)),"Error"))</f>
        <v/>
      </c>
      <c r="P41" s="61" t="str">
        <f aca="false">IF($M41="","",IFERROR(-$M41*$O41,"Error"))</f>
        <v/>
      </c>
      <c r="Q41" s="61" t="str">
        <f aca="false">IF($M41="","",IFERROR(-($P41-$P41/(1+Datos!$B$2)),"Error"))</f>
        <v/>
      </c>
      <c r="R41" s="61" t="str">
        <f aca="false">IF($M41="","",IF($M41&lt;=15000,-1000,IF($M41&lt;=25000,-2000,IF($M41&lt;=33000,-2400,0))))</f>
        <v/>
      </c>
      <c r="S41" s="61" t="str">
        <f aca="false">IF($M41="","",-($R41-$R41/(1+Datos!$B$2)))</f>
        <v/>
      </c>
      <c r="T41" s="61" t="str">
        <f aca="false">IF($M41="","",-$M41/(1+$L41)*$L41)</f>
        <v/>
      </c>
      <c r="U41" s="61" t="str">
        <f aca="false">IF($M41="","",$C41*$D41)</f>
        <v/>
      </c>
      <c r="V41" s="61" t="str">
        <f aca="false">IF($M41="","",-N($N41))</f>
        <v/>
      </c>
      <c r="W41" s="61" t="str">
        <f aca="false">IF($M41="","",-($V41-$V41/(1+Datos!$B$2)))</f>
        <v/>
      </c>
      <c r="X41" s="61" t="str">
        <f aca="false">IF($M41="","",-$M41*Datos!$C$2)</f>
        <v/>
      </c>
      <c r="Y41" s="61" t="str">
        <f aca="false">IF($M41="","",IFERROR($M41+$U41+$T41+$P41+$Q41+$R41+$S41+$V41+$W41+$X41,"Error"))</f>
        <v/>
      </c>
      <c r="Z41" s="61" t="str">
        <f aca="false">IF($M41="","",IFERROR($Y41-$E41,"Error"))</f>
        <v/>
      </c>
      <c r="AA41" s="60" t="str">
        <f aca="false">IF($M41="","",IFERROR($Z41/($M41+$T41),"Error"))</f>
        <v/>
      </c>
      <c r="AB41" s="62" t="str">
        <f aca="false">IF($M41="","",IFERROR($M41/$E41,"Error"))</f>
        <v/>
      </c>
      <c r="AD41" s="59"/>
      <c r="AE41" s="57"/>
      <c r="AF41" s="58"/>
      <c r="AG41" s="60" t="str">
        <f aca="false">IF(N($AD41)=0,"",IFERROR(($AD41/(1+$L41)-($AD41*$O41+IF($AD41&lt;=15000,1000,IF($AD41&lt;=25000,2000,IF($AD41&lt;=33000,2400,0)))+N($N41))/(1+Datos!$B$2)-$AD41*Datos!$C$2-$C41)/($AD41/(1+$L41)),"Error"))</f>
        <v/>
      </c>
      <c r="AH41" s="61" t="str">
        <f aca="false">IF(N($AD41)=0,"",IFERROR($AD41/(1+$L41)*(1-$AF41)-($AD41*$O41+IF($AD41&lt;=15000,1000,IF($AD41&lt;=25000,2000,IF($AD41&lt;=33000,2400,0)))+N($N41))/(1+Datos!$B$2)-$AD41*Datos!$C$2,"Error"))</f>
        <v/>
      </c>
      <c r="AI41" s="61" t="str">
        <f aca="false">IF($AH41="","",IFERROR($AH41*(1+$D41),"Error"))</f>
        <v/>
      </c>
      <c r="AJ41" s="60" t="str">
        <f aca="false">IF($AH41="","",IFERROR($C41/$AH41-1,"Error"))</f>
        <v/>
      </c>
      <c r="AK41" s="63" t="str">
        <f aca="false">IF($AH41="","",IFERROR(IF($C41&lt;=$AH41,"OK a ese precio","Bajar costo"),"Error"))</f>
        <v/>
      </c>
    </row>
    <row r="42" customFormat="false" ht="15" hidden="false" customHeight="false" outlineLevel="0" collapsed="false">
      <c r="E42" s="0" t="str">
        <f aca="false">IF($C42="","",$C42*(1+$D42))</f>
        <v/>
      </c>
      <c r="J42" s="57"/>
      <c r="K42" s="57"/>
      <c r="L42" s="58"/>
      <c r="M42" s="59"/>
      <c r="N42" s="59"/>
      <c r="O42" s="60" t="str">
        <f aca="false">IF($M42="","",IFERROR(IF($K42="Clásica",VLOOKUP("Argentina"&amp;$J42,Datos!$C:$D,2,0),VLOOKUP("Argentina"&amp;$J42,Datos!$C:$D,2,0)+VLOOKUP("Argentina"&amp;$K42,Datos!$H:$I,2,0)),"Error"))</f>
        <v/>
      </c>
      <c r="P42" s="61" t="str">
        <f aca="false">IF($M42="","",IFERROR(-$M42*$O42,"Error"))</f>
        <v/>
      </c>
      <c r="Q42" s="61" t="str">
        <f aca="false">IF($M42="","",IFERROR(-($P42-$P42/(1+Datos!$B$2)),"Error"))</f>
        <v/>
      </c>
      <c r="R42" s="61" t="str">
        <f aca="false">IF($M42="","",IF($M42&lt;=15000,-1000,IF($M42&lt;=25000,-2000,IF($M42&lt;=33000,-2400,0))))</f>
        <v/>
      </c>
      <c r="S42" s="61" t="str">
        <f aca="false">IF($M42="","",-($R42-$R42/(1+Datos!$B$2)))</f>
        <v/>
      </c>
      <c r="T42" s="61" t="str">
        <f aca="false">IF($M42="","",-$M42/(1+$L42)*$L42)</f>
        <v/>
      </c>
      <c r="U42" s="61" t="str">
        <f aca="false">IF($M42="","",$C42*$D42)</f>
        <v/>
      </c>
      <c r="V42" s="61" t="str">
        <f aca="false">IF($M42="","",-N($N42))</f>
        <v/>
      </c>
      <c r="W42" s="61" t="str">
        <f aca="false">IF($M42="","",-($V42-$V42/(1+Datos!$B$2)))</f>
        <v/>
      </c>
      <c r="X42" s="61" t="str">
        <f aca="false">IF($M42="","",-$M42*Datos!$C$2)</f>
        <v/>
      </c>
      <c r="Y42" s="61" t="str">
        <f aca="false">IF($M42="","",IFERROR($M42+$U42+$T42+$P42+$Q42+$R42+$S42+$V42+$W42+$X42,"Error"))</f>
        <v/>
      </c>
      <c r="Z42" s="61" t="str">
        <f aca="false">IF($M42="","",IFERROR($Y42-$E42,"Error"))</f>
        <v/>
      </c>
      <c r="AA42" s="60" t="str">
        <f aca="false">IF($M42="","",IFERROR($Z42/($M42+$T42),"Error"))</f>
        <v/>
      </c>
      <c r="AB42" s="62" t="str">
        <f aca="false">IF($M42="","",IFERROR($M42/$E42,"Error"))</f>
        <v/>
      </c>
      <c r="AD42" s="59"/>
      <c r="AE42" s="57"/>
      <c r="AF42" s="58"/>
      <c r="AG42" s="60" t="str">
        <f aca="false">IF(N($AD42)=0,"",IFERROR(($AD42/(1+$L42)-($AD42*$O42+IF($AD42&lt;=15000,1000,IF($AD42&lt;=25000,2000,IF($AD42&lt;=33000,2400,0)))+N($N42))/(1+Datos!$B$2)-$AD42*Datos!$C$2-$C42)/($AD42/(1+$L42)),"Error"))</f>
        <v/>
      </c>
      <c r="AH42" s="61" t="str">
        <f aca="false">IF(N($AD42)=0,"",IFERROR($AD42/(1+$L42)*(1-$AF42)-($AD42*$O42+IF($AD42&lt;=15000,1000,IF($AD42&lt;=25000,2000,IF($AD42&lt;=33000,2400,0)))+N($N42))/(1+Datos!$B$2)-$AD42*Datos!$C$2,"Error"))</f>
        <v/>
      </c>
      <c r="AI42" s="61" t="str">
        <f aca="false">IF($AH42="","",IFERROR($AH42*(1+$D42),"Error"))</f>
        <v/>
      </c>
      <c r="AJ42" s="60" t="str">
        <f aca="false">IF($AH42="","",IFERROR($C42/$AH42-1,"Error"))</f>
        <v/>
      </c>
      <c r="AK42" s="63" t="str">
        <f aca="false">IF($AH42="","",IFERROR(IF($C42&lt;=$AH42,"OK a ese precio","Bajar costo"),"Error"))</f>
        <v/>
      </c>
    </row>
    <row r="43" customFormat="false" ht="15" hidden="false" customHeight="false" outlineLevel="0" collapsed="false">
      <c r="E43" s="0" t="str">
        <f aca="false">IF($C43="","",$C43*(1+$D43))</f>
        <v/>
      </c>
      <c r="J43" s="57"/>
      <c r="K43" s="57"/>
      <c r="L43" s="58"/>
      <c r="M43" s="59"/>
      <c r="N43" s="59"/>
      <c r="O43" s="60" t="str">
        <f aca="false">IF($M43="","",IFERROR(IF($K43="Clásica",VLOOKUP("Argentina"&amp;$J43,Datos!$C:$D,2,0),VLOOKUP("Argentina"&amp;$J43,Datos!$C:$D,2,0)+VLOOKUP("Argentina"&amp;$K43,Datos!$H:$I,2,0)),"Error"))</f>
        <v/>
      </c>
      <c r="P43" s="61" t="str">
        <f aca="false">IF($M43="","",IFERROR(-$M43*$O43,"Error"))</f>
        <v/>
      </c>
      <c r="Q43" s="61" t="str">
        <f aca="false">IF($M43="","",IFERROR(-($P43-$P43/(1+Datos!$B$2)),"Error"))</f>
        <v/>
      </c>
      <c r="R43" s="61" t="str">
        <f aca="false">IF($M43="","",IF($M43&lt;=15000,-1000,IF($M43&lt;=25000,-2000,IF($M43&lt;=33000,-2400,0))))</f>
        <v/>
      </c>
      <c r="S43" s="61" t="str">
        <f aca="false">IF($M43="","",-($R43-$R43/(1+Datos!$B$2)))</f>
        <v/>
      </c>
      <c r="T43" s="61" t="str">
        <f aca="false">IF($M43="","",-$M43/(1+$L43)*$L43)</f>
        <v/>
      </c>
      <c r="U43" s="61" t="str">
        <f aca="false">IF($M43="","",$C43*$D43)</f>
        <v/>
      </c>
      <c r="V43" s="61" t="str">
        <f aca="false">IF($M43="","",-N($N43))</f>
        <v/>
      </c>
      <c r="W43" s="61" t="str">
        <f aca="false">IF($M43="","",-($V43-$V43/(1+Datos!$B$2)))</f>
        <v/>
      </c>
      <c r="X43" s="61" t="str">
        <f aca="false">IF($M43="","",-$M43*Datos!$C$2)</f>
        <v/>
      </c>
      <c r="Y43" s="61" t="str">
        <f aca="false">IF($M43="","",IFERROR($M43+$U43+$T43+$P43+$Q43+$R43+$S43+$V43+$W43+$X43,"Error"))</f>
        <v/>
      </c>
      <c r="Z43" s="61" t="str">
        <f aca="false">IF($M43="","",IFERROR($Y43-$E43,"Error"))</f>
        <v/>
      </c>
      <c r="AA43" s="60" t="str">
        <f aca="false">IF($M43="","",IFERROR($Z43/($M43+$T43),"Error"))</f>
        <v/>
      </c>
      <c r="AB43" s="62" t="str">
        <f aca="false">IF($M43="","",IFERROR($M43/$E43,"Error"))</f>
        <v/>
      </c>
      <c r="AD43" s="59"/>
      <c r="AE43" s="57"/>
      <c r="AF43" s="58"/>
      <c r="AG43" s="60" t="str">
        <f aca="false">IF(N($AD43)=0,"",IFERROR(($AD43/(1+$L43)-($AD43*$O43+IF($AD43&lt;=15000,1000,IF($AD43&lt;=25000,2000,IF($AD43&lt;=33000,2400,0)))+N($N43))/(1+Datos!$B$2)-$AD43*Datos!$C$2-$C43)/($AD43/(1+$L43)),"Error"))</f>
        <v/>
      </c>
      <c r="AH43" s="61" t="str">
        <f aca="false">IF(N($AD43)=0,"",IFERROR($AD43/(1+$L43)*(1-$AF43)-($AD43*$O43+IF($AD43&lt;=15000,1000,IF($AD43&lt;=25000,2000,IF($AD43&lt;=33000,2400,0)))+N($N43))/(1+Datos!$B$2)-$AD43*Datos!$C$2,"Error"))</f>
        <v/>
      </c>
      <c r="AI43" s="61" t="str">
        <f aca="false">IF($AH43="","",IFERROR($AH43*(1+$D43),"Error"))</f>
        <v/>
      </c>
      <c r="AJ43" s="60" t="str">
        <f aca="false">IF($AH43="","",IFERROR($C43/$AH43-1,"Error"))</f>
        <v/>
      </c>
      <c r="AK43" s="63" t="str">
        <f aca="false">IF($AH43="","",IFERROR(IF($C43&lt;=$AH43,"OK a ese precio","Bajar costo"),"Error"))</f>
        <v/>
      </c>
    </row>
    <row r="44" customFormat="false" ht="15" hidden="false" customHeight="false" outlineLevel="0" collapsed="false">
      <c r="E44" s="0" t="str">
        <f aca="false">IF($C44="","",$C44*(1+$D44))</f>
        <v/>
      </c>
      <c r="J44" s="57"/>
      <c r="K44" s="57"/>
      <c r="L44" s="58"/>
      <c r="M44" s="59"/>
      <c r="N44" s="59"/>
      <c r="O44" s="60" t="str">
        <f aca="false">IF($M44="","",IFERROR(IF($K44="Clásica",VLOOKUP("Argentina"&amp;$J44,Datos!$C:$D,2,0),VLOOKUP("Argentina"&amp;$J44,Datos!$C:$D,2,0)+VLOOKUP("Argentina"&amp;$K44,Datos!$H:$I,2,0)),"Error"))</f>
        <v/>
      </c>
      <c r="P44" s="61" t="str">
        <f aca="false">IF($M44="","",IFERROR(-$M44*$O44,"Error"))</f>
        <v/>
      </c>
      <c r="Q44" s="61" t="str">
        <f aca="false">IF($M44="","",IFERROR(-($P44-$P44/(1+Datos!$B$2)),"Error"))</f>
        <v/>
      </c>
      <c r="R44" s="61" t="str">
        <f aca="false">IF($M44="","",IF($M44&lt;=15000,-1000,IF($M44&lt;=25000,-2000,IF($M44&lt;=33000,-2400,0))))</f>
        <v/>
      </c>
      <c r="S44" s="61" t="str">
        <f aca="false">IF($M44="","",-($R44-$R44/(1+Datos!$B$2)))</f>
        <v/>
      </c>
      <c r="T44" s="61" t="str">
        <f aca="false">IF($M44="","",-$M44/(1+$L44)*$L44)</f>
        <v/>
      </c>
      <c r="U44" s="61" t="str">
        <f aca="false">IF($M44="","",$C44*$D44)</f>
        <v/>
      </c>
      <c r="V44" s="61" t="str">
        <f aca="false">IF($M44="","",-N($N44))</f>
        <v/>
      </c>
      <c r="W44" s="61" t="str">
        <f aca="false">IF($M44="","",-($V44-$V44/(1+Datos!$B$2)))</f>
        <v/>
      </c>
      <c r="X44" s="61" t="str">
        <f aca="false">IF($M44="","",-$M44*Datos!$C$2)</f>
        <v/>
      </c>
      <c r="Y44" s="61" t="str">
        <f aca="false">IF($M44="","",IFERROR($M44+$U44+$T44+$P44+$Q44+$R44+$S44+$V44+$W44+$X44,"Error"))</f>
        <v/>
      </c>
      <c r="Z44" s="61" t="str">
        <f aca="false">IF($M44="","",IFERROR($Y44-$E44,"Error"))</f>
        <v/>
      </c>
      <c r="AA44" s="60" t="str">
        <f aca="false">IF($M44="","",IFERROR($Z44/($M44+$T44),"Error"))</f>
        <v/>
      </c>
      <c r="AB44" s="62" t="str">
        <f aca="false">IF($M44="","",IFERROR($M44/$E44,"Error"))</f>
        <v/>
      </c>
      <c r="AD44" s="59"/>
      <c r="AE44" s="57"/>
      <c r="AF44" s="58"/>
      <c r="AG44" s="60" t="str">
        <f aca="false">IF(N($AD44)=0,"",IFERROR(($AD44/(1+$L44)-($AD44*$O44+IF($AD44&lt;=15000,1000,IF($AD44&lt;=25000,2000,IF($AD44&lt;=33000,2400,0)))+N($N44))/(1+Datos!$B$2)-$AD44*Datos!$C$2-$C44)/($AD44/(1+$L44)),"Error"))</f>
        <v/>
      </c>
      <c r="AH44" s="61" t="str">
        <f aca="false">IF(N($AD44)=0,"",IFERROR($AD44/(1+$L44)*(1-$AF44)-($AD44*$O44+IF($AD44&lt;=15000,1000,IF($AD44&lt;=25000,2000,IF($AD44&lt;=33000,2400,0)))+N($N44))/(1+Datos!$B$2)-$AD44*Datos!$C$2,"Error"))</f>
        <v/>
      </c>
      <c r="AI44" s="61" t="str">
        <f aca="false">IF($AH44="","",IFERROR($AH44*(1+$D44),"Error"))</f>
        <v/>
      </c>
      <c r="AJ44" s="60" t="str">
        <f aca="false">IF($AH44="","",IFERROR($C44/$AH44-1,"Error"))</f>
        <v/>
      </c>
      <c r="AK44" s="63" t="str">
        <f aca="false">IF($AH44="","",IFERROR(IF($C44&lt;=$AH44,"OK a ese precio","Bajar costo"),"Error"))</f>
        <v/>
      </c>
    </row>
    <row r="45" customFormat="false" ht="15" hidden="false" customHeight="false" outlineLevel="0" collapsed="false">
      <c r="E45" s="0" t="str">
        <f aca="false">IF($C45="","",$C45*(1+$D45))</f>
        <v/>
      </c>
      <c r="J45" s="57"/>
      <c r="K45" s="57"/>
      <c r="L45" s="58"/>
      <c r="M45" s="59"/>
      <c r="N45" s="59"/>
      <c r="O45" s="60" t="str">
        <f aca="false">IF($M45="","",IFERROR(IF($K45="Clásica",VLOOKUP("Argentina"&amp;$J45,Datos!$C:$D,2,0),VLOOKUP("Argentina"&amp;$J45,Datos!$C:$D,2,0)+VLOOKUP("Argentina"&amp;$K45,Datos!$H:$I,2,0)),"Error"))</f>
        <v/>
      </c>
      <c r="P45" s="61" t="str">
        <f aca="false">IF($M45="","",IFERROR(-$M45*$O45,"Error"))</f>
        <v/>
      </c>
      <c r="Q45" s="61" t="str">
        <f aca="false">IF($M45="","",IFERROR(-($P45-$P45/(1+Datos!$B$2)),"Error"))</f>
        <v/>
      </c>
      <c r="R45" s="61" t="str">
        <f aca="false">IF($M45="","",IF($M45&lt;=15000,-1000,IF($M45&lt;=25000,-2000,IF($M45&lt;=33000,-2400,0))))</f>
        <v/>
      </c>
      <c r="S45" s="61" t="str">
        <f aca="false">IF($M45="","",-($R45-$R45/(1+Datos!$B$2)))</f>
        <v/>
      </c>
      <c r="T45" s="61" t="str">
        <f aca="false">IF($M45="","",-$M45/(1+$L45)*$L45)</f>
        <v/>
      </c>
      <c r="U45" s="61" t="str">
        <f aca="false">IF($M45="","",$C45*$D45)</f>
        <v/>
      </c>
      <c r="V45" s="61" t="str">
        <f aca="false">IF($M45="","",-N($N45))</f>
        <v/>
      </c>
      <c r="W45" s="61" t="str">
        <f aca="false">IF($M45="","",-($V45-$V45/(1+Datos!$B$2)))</f>
        <v/>
      </c>
      <c r="X45" s="61" t="str">
        <f aca="false">IF($M45="","",-$M45*Datos!$C$2)</f>
        <v/>
      </c>
      <c r="Y45" s="61" t="str">
        <f aca="false">IF($M45="","",IFERROR($M45+$U45+$T45+$P45+$Q45+$R45+$S45+$V45+$W45+$X45,"Error"))</f>
        <v/>
      </c>
      <c r="Z45" s="61" t="str">
        <f aca="false">IF($M45="","",IFERROR($Y45-$E45,"Error"))</f>
        <v/>
      </c>
      <c r="AA45" s="60" t="str">
        <f aca="false">IF($M45="","",IFERROR($Z45/($M45+$T45),"Error"))</f>
        <v/>
      </c>
      <c r="AB45" s="62" t="str">
        <f aca="false">IF($M45="","",IFERROR($M45/$E45,"Error"))</f>
        <v/>
      </c>
      <c r="AD45" s="59"/>
      <c r="AE45" s="57"/>
      <c r="AF45" s="58"/>
      <c r="AG45" s="60" t="str">
        <f aca="false">IF(N($AD45)=0,"",IFERROR(($AD45/(1+$L45)-($AD45*$O45+IF($AD45&lt;=15000,1000,IF($AD45&lt;=25000,2000,IF($AD45&lt;=33000,2400,0)))+N($N45))/(1+Datos!$B$2)-$AD45*Datos!$C$2-$C45)/($AD45/(1+$L45)),"Error"))</f>
        <v/>
      </c>
      <c r="AH45" s="61" t="str">
        <f aca="false">IF(N($AD45)=0,"",IFERROR($AD45/(1+$L45)*(1-$AF45)-($AD45*$O45+IF($AD45&lt;=15000,1000,IF($AD45&lt;=25000,2000,IF($AD45&lt;=33000,2400,0)))+N($N45))/(1+Datos!$B$2)-$AD45*Datos!$C$2,"Error"))</f>
        <v/>
      </c>
      <c r="AI45" s="61" t="str">
        <f aca="false">IF($AH45="","",IFERROR($AH45*(1+$D45),"Error"))</f>
        <v/>
      </c>
      <c r="AJ45" s="60" t="str">
        <f aca="false">IF($AH45="","",IFERROR($C45/$AH45-1,"Error"))</f>
        <v/>
      </c>
      <c r="AK45" s="63" t="str">
        <f aca="false">IF($AH45="","",IFERROR(IF($C45&lt;=$AH45,"OK a ese precio","Bajar costo"),"Error"))</f>
        <v/>
      </c>
    </row>
    <row r="46" customFormat="false" ht="15" hidden="false" customHeight="false" outlineLevel="0" collapsed="false">
      <c r="E46" s="0" t="str">
        <f aca="false">IF($C46="","",$C46*(1+$D46))</f>
        <v/>
      </c>
      <c r="J46" s="57"/>
      <c r="K46" s="57"/>
      <c r="L46" s="58"/>
      <c r="M46" s="59"/>
      <c r="N46" s="59"/>
      <c r="O46" s="60" t="str">
        <f aca="false">IF($M46="","",IFERROR(IF($K46="Clásica",VLOOKUP("Argentina"&amp;$J46,Datos!$C:$D,2,0),VLOOKUP("Argentina"&amp;$J46,Datos!$C:$D,2,0)+VLOOKUP("Argentina"&amp;$K46,Datos!$H:$I,2,0)),"Error"))</f>
        <v/>
      </c>
      <c r="P46" s="61" t="str">
        <f aca="false">IF($M46="","",IFERROR(-$M46*$O46,"Error"))</f>
        <v/>
      </c>
      <c r="Q46" s="61" t="str">
        <f aca="false">IF($M46="","",IFERROR(-($P46-$P46/(1+Datos!$B$2)),"Error"))</f>
        <v/>
      </c>
      <c r="R46" s="61" t="str">
        <f aca="false">IF($M46="","",IF($M46&lt;=15000,-1000,IF($M46&lt;=25000,-2000,IF($M46&lt;=33000,-2400,0))))</f>
        <v/>
      </c>
      <c r="S46" s="61" t="str">
        <f aca="false">IF($M46="","",-($R46-$R46/(1+Datos!$B$2)))</f>
        <v/>
      </c>
      <c r="T46" s="61" t="str">
        <f aca="false">IF($M46="","",-$M46/(1+$L46)*$L46)</f>
        <v/>
      </c>
      <c r="U46" s="61" t="str">
        <f aca="false">IF($M46="","",$C46*$D46)</f>
        <v/>
      </c>
      <c r="V46" s="61" t="str">
        <f aca="false">IF($M46="","",-N($N46))</f>
        <v/>
      </c>
      <c r="W46" s="61" t="str">
        <f aca="false">IF($M46="","",-($V46-$V46/(1+Datos!$B$2)))</f>
        <v/>
      </c>
      <c r="X46" s="61" t="str">
        <f aca="false">IF($M46="","",-$M46*Datos!$C$2)</f>
        <v/>
      </c>
      <c r="Y46" s="61" t="str">
        <f aca="false">IF($M46="","",IFERROR($M46+$U46+$T46+$P46+$Q46+$R46+$S46+$V46+$W46+$X46,"Error"))</f>
        <v/>
      </c>
      <c r="Z46" s="61" t="str">
        <f aca="false">IF($M46="","",IFERROR($Y46-$E46,"Error"))</f>
        <v/>
      </c>
      <c r="AA46" s="60" t="str">
        <f aca="false">IF($M46="","",IFERROR($Z46/($M46+$T46),"Error"))</f>
        <v/>
      </c>
      <c r="AB46" s="62" t="str">
        <f aca="false">IF($M46="","",IFERROR($M46/$E46,"Error"))</f>
        <v/>
      </c>
      <c r="AD46" s="59"/>
      <c r="AE46" s="57"/>
      <c r="AF46" s="58"/>
      <c r="AG46" s="60" t="str">
        <f aca="false">IF(N($AD46)=0,"",IFERROR(($AD46/(1+$L46)-($AD46*$O46+IF($AD46&lt;=15000,1000,IF($AD46&lt;=25000,2000,IF($AD46&lt;=33000,2400,0)))+N($N46))/(1+Datos!$B$2)-$AD46*Datos!$C$2-$C46)/($AD46/(1+$L46)),"Error"))</f>
        <v/>
      </c>
      <c r="AH46" s="61" t="str">
        <f aca="false">IF(N($AD46)=0,"",IFERROR($AD46/(1+$L46)*(1-$AF46)-($AD46*$O46+IF($AD46&lt;=15000,1000,IF($AD46&lt;=25000,2000,IF($AD46&lt;=33000,2400,0)))+N($N46))/(1+Datos!$B$2)-$AD46*Datos!$C$2,"Error"))</f>
        <v/>
      </c>
      <c r="AI46" s="61" t="str">
        <f aca="false">IF($AH46="","",IFERROR($AH46*(1+$D46),"Error"))</f>
        <v/>
      </c>
      <c r="AJ46" s="60" t="str">
        <f aca="false">IF($AH46="","",IFERROR($C46/$AH46-1,"Error"))</f>
        <v/>
      </c>
      <c r="AK46" s="63" t="str">
        <f aca="false">IF($AH46="","",IFERROR(IF($C46&lt;=$AH46,"OK a ese precio","Bajar costo"),"Error"))</f>
        <v/>
      </c>
    </row>
    <row r="47" customFormat="false" ht="15" hidden="false" customHeight="false" outlineLevel="0" collapsed="false">
      <c r="E47" s="0" t="str">
        <f aca="false">IF($C47="","",$C47*(1+$D47))</f>
        <v/>
      </c>
      <c r="J47" s="57"/>
      <c r="K47" s="57"/>
      <c r="L47" s="58"/>
      <c r="M47" s="59"/>
      <c r="N47" s="59"/>
      <c r="O47" s="60" t="str">
        <f aca="false">IF($M47="","",IFERROR(IF($K47="Clásica",VLOOKUP("Argentina"&amp;$J47,Datos!$C:$D,2,0),VLOOKUP("Argentina"&amp;$J47,Datos!$C:$D,2,0)+VLOOKUP("Argentina"&amp;$K47,Datos!$H:$I,2,0)),"Error"))</f>
        <v/>
      </c>
      <c r="P47" s="61" t="str">
        <f aca="false">IF($M47="","",IFERROR(-$M47*$O47,"Error"))</f>
        <v/>
      </c>
      <c r="Q47" s="61" t="str">
        <f aca="false">IF($M47="","",IFERROR(-($P47-$P47/(1+Datos!$B$2)),"Error"))</f>
        <v/>
      </c>
      <c r="R47" s="61" t="str">
        <f aca="false">IF($M47="","",IF($M47&lt;=15000,-1000,IF($M47&lt;=25000,-2000,IF($M47&lt;=33000,-2400,0))))</f>
        <v/>
      </c>
      <c r="S47" s="61" t="str">
        <f aca="false">IF($M47="","",-($R47-$R47/(1+Datos!$B$2)))</f>
        <v/>
      </c>
      <c r="T47" s="61" t="str">
        <f aca="false">IF($M47="","",-$M47/(1+$L47)*$L47)</f>
        <v/>
      </c>
      <c r="U47" s="61" t="str">
        <f aca="false">IF($M47="","",$C47*$D47)</f>
        <v/>
      </c>
      <c r="V47" s="61" t="str">
        <f aca="false">IF($M47="","",-N($N47))</f>
        <v/>
      </c>
      <c r="W47" s="61" t="str">
        <f aca="false">IF($M47="","",-($V47-$V47/(1+Datos!$B$2)))</f>
        <v/>
      </c>
      <c r="X47" s="61" t="str">
        <f aca="false">IF($M47="","",-$M47*Datos!$C$2)</f>
        <v/>
      </c>
      <c r="Y47" s="61" t="str">
        <f aca="false">IF($M47="","",IFERROR($M47+$U47+$T47+$P47+$Q47+$R47+$S47+$V47+$W47+$X47,"Error"))</f>
        <v/>
      </c>
      <c r="Z47" s="61" t="str">
        <f aca="false">IF($M47="","",IFERROR($Y47-$E47,"Error"))</f>
        <v/>
      </c>
      <c r="AA47" s="60" t="str">
        <f aca="false">IF($M47="","",IFERROR($Z47/($M47+$T47),"Error"))</f>
        <v/>
      </c>
      <c r="AB47" s="62" t="str">
        <f aca="false">IF($M47="","",IFERROR($M47/$E47,"Error"))</f>
        <v/>
      </c>
      <c r="AD47" s="59"/>
      <c r="AE47" s="57"/>
      <c r="AF47" s="58"/>
      <c r="AG47" s="60" t="str">
        <f aca="false">IF(N($AD47)=0,"",IFERROR(($AD47/(1+$L47)-($AD47*$O47+IF($AD47&lt;=15000,1000,IF($AD47&lt;=25000,2000,IF($AD47&lt;=33000,2400,0)))+N($N47))/(1+Datos!$B$2)-$AD47*Datos!$C$2-$C47)/($AD47/(1+$L47)),"Error"))</f>
        <v/>
      </c>
      <c r="AH47" s="61" t="str">
        <f aca="false">IF(N($AD47)=0,"",IFERROR($AD47/(1+$L47)*(1-$AF47)-($AD47*$O47+IF($AD47&lt;=15000,1000,IF($AD47&lt;=25000,2000,IF($AD47&lt;=33000,2400,0)))+N($N47))/(1+Datos!$B$2)-$AD47*Datos!$C$2,"Error"))</f>
        <v/>
      </c>
      <c r="AI47" s="61" t="str">
        <f aca="false">IF($AH47="","",IFERROR($AH47*(1+$D47),"Error"))</f>
        <v/>
      </c>
      <c r="AJ47" s="60" t="str">
        <f aca="false">IF($AH47="","",IFERROR($C47/$AH47-1,"Error"))</f>
        <v/>
      </c>
      <c r="AK47" s="63" t="str">
        <f aca="false">IF($AH47="","",IFERROR(IF($C47&lt;=$AH47,"OK a ese precio","Bajar costo"),"Error"))</f>
        <v/>
      </c>
    </row>
    <row r="48" customFormat="false" ht="15" hidden="false" customHeight="false" outlineLevel="0" collapsed="false">
      <c r="E48" s="0" t="str">
        <f aca="false">IF($C48="","",$C48*(1+$D48))</f>
        <v/>
      </c>
      <c r="J48" s="57"/>
      <c r="K48" s="57"/>
      <c r="L48" s="58"/>
      <c r="M48" s="59"/>
      <c r="N48" s="59"/>
      <c r="O48" s="60" t="str">
        <f aca="false">IF($M48="","",IFERROR(IF($K48="Clásica",VLOOKUP("Argentina"&amp;$J48,Datos!$C:$D,2,0),VLOOKUP("Argentina"&amp;$J48,Datos!$C:$D,2,0)+VLOOKUP("Argentina"&amp;$K48,Datos!$H:$I,2,0)),"Error"))</f>
        <v/>
      </c>
      <c r="P48" s="61" t="str">
        <f aca="false">IF($M48="","",IFERROR(-$M48*$O48,"Error"))</f>
        <v/>
      </c>
      <c r="Q48" s="61" t="str">
        <f aca="false">IF($M48="","",IFERROR(-($P48-$P48/(1+Datos!$B$2)),"Error"))</f>
        <v/>
      </c>
      <c r="R48" s="61" t="str">
        <f aca="false">IF($M48="","",IF($M48&lt;=15000,-1000,IF($M48&lt;=25000,-2000,IF($M48&lt;=33000,-2400,0))))</f>
        <v/>
      </c>
      <c r="S48" s="61" t="str">
        <f aca="false">IF($M48="","",-($R48-$R48/(1+Datos!$B$2)))</f>
        <v/>
      </c>
      <c r="T48" s="61" t="str">
        <f aca="false">IF($M48="","",-$M48/(1+$L48)*$L48)</f>
        <v/>
      </c>
      <c r="U48" s="61" t="str">
        <f aca="false">IF($M48="","",$C48*$D48)</f>
        <v/>
      </c>
      <c r="V48" s="61" t="str">
        <f aca="false">IF($M48="","",-N($N48))</f>
        <v/>
      </c>
      <c r="W48" s="61" t="str">
        <f aca="false">IF($M48="","",-($V48-$V48/(1+Datos!$B$2)))</f>
        <v/>
      </c>
      <c r="X48" s="61" t="str">
        <f aca="false">IF($M48="","",-$M48*Datos!$C$2)</f>
        <v/>
      </c>
      <c r="Y48" s="61" t="str">
        <f aca="false">IF($M48="","",IFERROR($M48+$U48+$T48+$P48+$Q48+$R48+$S48+$V48+$W48+$X48,"Error"))</f>
        <v/>
      </c>
      <c r="Z48" s="61" t="str">
        <f aca="false">IF($M48="","",IFERROR($Y48-$E48,"Error"))</f>
        <v/>
      </c>
      <c r="AA48" s="60" t="str">
        <f aca="false">IF($M48="","",IFERROR($Z48/($M48+$T48),"Error"))</f>
        <v/>
      </c>
      <c r="AB48" s="62" t="str">
        <f aca="false">IF($M48="","",IFERROR($M48/$E48,"Error"))</f>
        <v/>
      </c>
      <c r="AD48" s="59"/>
      <c r="AE48" s="57"/>
      <c r="AF48" s="58"/>
      <c r="AG48" s="60" t="str">
        <f aca="false">IF(N($AD48)=0,"",IFERROR(($AD48/(1+$L48)-($AD48*$O48+IF($AD48&lt;=15000,1000,IF($AD48&lt;=25000,2000,IF($AD48&lt;=33000,2400,0)))+N($N48))/(1+Datos!$B$2)-$AD48*Datos!$C$2-$C48)/($AD48/(1+$L48)),"Error"))</f>
        <v/>
      </c>
      <c r="AH48" s="61" t="str">
        <f aca="false">IF(N($AD48)=0,"",IFERROR($AD48/(1+$L48)*(1-$AF48)-($AD48*$O48+IF($AD48&lt;=15000,1000,IF($AD48&lt;=25000,2000,IF($AD48&lt;=33000,2400,0)))+N($N48))/(1+Datos!$B$2)-$AD48*Datos!$C$2,"Error"))</f>
        <v/>
      </c>
      <c r="AI48" s="61" t="str">
        <f aca="false">IF($AH48="","",IFERROR($AH48*(1+$D48),"Error"))</f>
        <v/>
      </c>
      <c r="AJ48" s="60" t="str">
        <f aca="false">IF($AH48="","",IFERROR($C48/$AH48-1,"Error"))</f>
        <v/>
      </c>
      <c r="AK48" s="63" t="str">
        <f aca="false">IF($AH48="","",IFERROR(IF($C48&lt;=$AH48,"OK a ese precio","Bajar costo"),"Error"))</f>
        <v/>
      </c>
    </row>
    <row r="49" customFormat="false" ht="15" hidden="false" customHeight="false" outlineLevel="0" collapsed="false">
      <c r="E49" s="0" t="str">
        <f aca="false">IF($C49="","",$C49*(1+$D49))</f>
        <v/>
      </c>
      <c r="J49" s="57"/>
      <c r="K49" s="57"/>
      <c r="L49" s="58"/>
      <c r="M49" s="59"/>
      <c r="N49" s="59"/>
      <c r="O49" s="60" t="str">
        <f aca="false">IF($M49="","",IFERROR(IF($K49="Clásica",VLOOKUP("Argentina"&amp;$J49,Datos!$C:$D,2,0),VLOOKUP("Argentina"&amp;$J49,Datos!$C:$D,2,0)+VLOOKUP("Argentina"&amp;$K49,Datos!$H:$I,2,0)),"Error"))</f>
        <v/>
      </c>
      <c r="P49" s="61" t="str">
        <f aca="false">IF($M49="","",IFERROR(-$M49*$O49,"Error"))</f>
        <v/>
      </c>
      <c r="Q49" s="61" t="str">
        <f aca="false">IF($M49="","",IFERROR(-($P49-$P49/(1+Datos!$B$2)),"Error"))</f>
        <v/>
      </c>
      <c r="R49" s="61" t="str">
        <f aca="false">IF($M49="","",IF($M49&lt;=15000,-1000,IF($M49&lt;=25000,-2000,IF($M49&lt;=33000,-2400,0))))</f>
        <v/>
      </c>
      <c r="S49" s="61" t="str">
        <f aca="false">IF($M49="","",-($R49-$R49/(1+Datos!$B$2)))</f>
        <v/>
      </c>
      <c r="T49" s="61" t="str">
        <f aca="false">IF($M49="","",-$M49/(1+$L49)*$L49)</f>
        <v/>
      </c>
      <c r="U49" s="61" t="str">
        <f aca="false">IF($M49="","",$C49*$D49)</f>
        <v/>
      </c>
      <c r="V49" s="61" t="str">
        <f aca="false">IF($M49="","",-N($N49))</f>
        <v/>
      </c>
      <c r="W49" s="61" t="str">
        <f aca="false">IF($M49="","",-($V49-$V49/(1+Datos!$B$2)))</f>
        <v/>
      </c>
      <c r="X49" s="61" t="str">
        <f aca="false">IF($M49="","",-$M49*Datos!$C$2)</f>
        <v/>
      </c>
      <c r="Y49" s="61" t="str">
        <f aca="false">IF($M49="","",IFERROR($M49+$U49+$T49+$P49+$Q49+$R49+$S49+$V49+$W49+$X49,"Error"))</f>
        <v/>
      </c>
      <c r="Z49" s="61" t="str">
        <f aca="false">IF($M49="","",IFERROR($Y49-$E49,"Error"))</f>
        <v/>
      </c>
      <c r="AA49" s="60" t="str">
        <f aca="false">IF($M49="","",IFERROR($Z49/($M49+$T49),"Error"))</f>
        <v/>
      </c>
      <c r="AB49" s="62" t="str">
        <f aca="false">IF($M49="","",IFERROR($M49/$E49,"Error"))</f>
        <v/>
      </c>
      <c r="AD49" s="59"/>
      <c r="AE49" s="57"/>
      <c r="AF49" s="58"/>
      <c r="AG49" s="60" t="str">
        <f aca="false">IF(N($AD49)=0,"",IFERROR(($AD49/(1+$L49)-($AD49*$O49+IF($AD49&lt;=15000,1000,IF($AD49&lt;=25000,2000,IF($AD49&lt;=33000,2400,0)))+N($N49))/(1+Datos!$B$2)-$AD49*Datos!$C$2-$C49)/($AD49/(1+$L49)),"Error"))</f>
        <v/>
      </c>
      <c r="AH49" s="61" t="str">
        <f aca="false">IF(N($AD49)=0,"",IFERROR($AD49/(1+$L49)*(1-$AF49)-($AD49*$O49+IF($AD49&lt;=15000,1000,IF($AD49&lt;=25000,2000,IF($AD49&lt;=33000,2400,0)))+N($N49))/(1+Datos!$B$2)-$AD49*Datos!$C$2,"Error"))</f>
        <v/>
      </c>
      <c r="AI49" s="61" t="str">
        <f aca="false">IF($AH49="","",IFERROR($AH49*(1+$D49),"Error"))</f>
        <v/>
      </c>
      <c r="AJ49" s="60" t="str">
        <f aca="false">IF($AH49="","",IFERROR($C49/$AH49-1,"Error"))</f>
        <v/>
      </c>
      <c r="AK49" s="63" t="str">
        <f aca="false">IF($AH49="","",IFERROR(IF($C49&lt;=$AH49,"OK a ese precio","Bajar costo"),"Error"))</f>
        <v/>
      </c>
    </row>
    <row r="50" customFormat="false" ht="15" hidden="false" customHeight="false" outlineLevel="0" collapsed="false">
      <c r="E50" s="0" t="str">
        <f aca="false">IF($C50="","",$C50*(1+$D50))</f>
        <v/>
      </c>
      <c r="J50" s="57"/>
      <c r="K50" s="57"/>
      <c r="L50" s="58"/>
      <c r="M50" s="59"/>
      <c r="N50" s="59"/>
      <c r="O50" s="60" t="str">
        <f aca="false">IF($M50="","",IFERROR(IF($K50="Clásica",VLOOKUP("Argentina"&amp;$J50,Datos!$C:$D,2,0),VLOOKUP("Argentina"&amp;$J50,Datos!$C:$D,2,0)+VLOOKUP("Argentina"&amp;$K50,Datos!$H:$I,2,0)),"Error"))</f>
        <v/>
      </c>
      <c r="P50" s="61" t="str">
        <f aca="false">IF($M50="","",IFERROR(-$M50*$O50,"Error"))</f>
        <v/>
      </c>
      <c r="Q50" s="61" t="str">
        <f aca="false">IF($M50="","",IFERROR(-($P50-$P50/(1+Datos!$B$2)),"Error"))</f>
        <v/>
      </c>
      <c r="R50" s="61" t="str">
        <f aca="false">IF($M50="","",IF($M50&lt;=15000,-1000,IF($M50&lt;=25000,-2000,IF($M50&lt;=33000,-2400,0))))</f>
        <v/>
      </c>
      <c r="S50" s="61" t="str">
        <f aca="false">IF($M50="","",-($R50-$R50/(1+Datos!$B$2)))</f>
        <v/>
      </c>
      <c r="T50" s="61" t="str">
        <f aca="false">IF($M50="","",-$M50/(1+$L50)*$L50)</f>
        <v/>
      </c>
      <c r="U50" s="61" t="str">
        <f aca="false">IF($M50="","",$C50*$D50)</f>
        <v/>
      </c>
      <c r="V50" s="61" t="str">
        <f aca="false">IF($M50="","",-N($N50))</f>
        <v/>
      </c>
      <c r="W50" s="61" t="str">
        <f aca="false">IF($M50="","",-($V50-$V50/(1+Datos!$B$2)))</f>
        <v/>
      </c>
      <c r="X50" s="61" t="str">
        <f aca="false">IF($M50="","",-$M50*Datos!$C$2)</f>
        <v/>
      </c>
      <c r="Y50" s="61" t="str">
        <f aca="false">IF($M50="","",IFERROR($M50+$U50+$T50+$P50+$Q50+$R50+$S50+$V50+$W50+$X50,"Error"))</f>
        <v/>
      </c>
      <c r="Z50" s="61" t="str">
        <f aca="false">IF($M50="","",IFERROR($Y50-$E50,"Error"))</f>
        <v/>
      </c>
      <c r="AA50" s="60" t="str">
        <f aca="false">IF($M50="","",IFERROR($Z50/($M50+$T50),"Error"))</f>
        <v/>
      </c>
      <c r="AB50" s="62" t="str">
        <f aca="false">IF($M50="","",IFERROR($M50/$E50,"Error"))</f>
        <v/>
      </c>
      <c r="AD50" s="59"/>
      <c r="AE50" s="57"/>
      <c r="AF50" s="58"/>
      <c r="AG50" s="60" t="str">
        <f aca="false">IF(N($AD50)=0,"",IFERROR(($AD50/(1+$L50)-($AD50*$O50+IF($AD50&lt;=15000,1000,IF($AD50&lt;=25000,2000,IF($AD50&lt;=33000,2400,0)))+N($N50))/(1+Datos!$B$2)-$AD50*Datos!$C$2-$C50)/($AD50/(1+$L50)),"Error"))</f>
        <v/>
      </c>
      <c r="AH50" s="61" t="str">
        <f aca="false">IF(N($AD50)=0,"",IFERROR($AD50/(1+$L50)*(1-$AF50)-($AD50*$O50+IF($AD50&lt;=15000,1000,IF($AD50&lt;=25000,2000,IF($AD50&lt;=33000,2400,0)))+N($N50))/(1+Datos!$B$2)-$AD50*Datos!$C$2,"Error"))</f>
        <v/>
      </c>
      <c r="AI50" s="61" t="str">
        <f aca="false">IF($AH50="","",IFERROR($AH50*(1+$D50),"Error"))</f>
        <v/>
      </c>
      <c r="AJ50" s="60" t="str">
        <f aca="false">IF($AH50="","",IFERROR($C50/$AH50-1,"Error"))</f>
        <v/>
      </c>
      <c r="AK50" s="63" t="str">
        <f aca="false">IF($AH50="","",IFERROR(IF($C50&lt;=$AH50,"OK a ese precio","Bajar costo"),"Error"))</f>
        <v/>
      </c>
    </row>
    <row r="51" customFormat="false" ht="15" hidden="false" customHeight="false" outlineLevel="0" collapsed="false">
      <c r="E51" s="0" t="str">
        <f aca="false">IF($C51="","",$C51*(1+$D51))</f>
        <v/>
      </c>
      <c r="J51" s="57"/>
      <c r="K51" s="57"/>
      <c r="L51" s="58"/>
      <c r="M51" s="59"/>
      <c r="N51" s="59"/>
      <c r="O51" s="60" t="str">
        <f aca="false">IF($M51="","",IFERROR(IF($K51="Clásica",VLOOKUP("Argentina"&amp;$J51,Datos!$C:$D,2,0),VLOOKUP("Argentina"&amp;$J51,Datos!$C:$D,2,0)+VLOOKUP("Argentina"&amp;$K51,Datos!$H:$I,2,0)),"Error"))</f>
        <v/>
      </c>
      <c r="P51" s="61" t="str">
        <f aca="false">IF($M51="","",IFERROR(-$M51*$O51,"Error"))</f>
        <v/>
      </c>
      <c r="Q51" s="61" t="str">
        <f aca="false">IF($M51="","",IFERROR(-($P51-$P51/(1+Datos!$B$2)),"Error"))</f>
        <v/>
      </c>
      <c r="R51" s="61" t="str">
        <f aca="false">IF($M51="","",IF($M51&lt;=15000,-1000,IF($M51&lt;=25000,-2000,IF($M51&lt;=33000,-2400,0))))</f>
        <v/>
      </c>
      <c r="S51" s="61" t="str">
        <f aca="false">IF($M51="","",-($R51-$R51/(1+Datos!$B$2)))</f>
        <v/>
      </c>
      <c r="T51" s="61" t="str">
        <f aca="false">IF($M51="","",-$M51/(1+$L51)*$L51)</f>
        <v/>
      </c>
      <c r="U51" s="61" t="str">
        <f aca="false">IF($M51="","",$C51*$D51)</f>
        <v/>
      </c>
      <c r="V51" s="61" t="str">
        <f aca="false">IF($M51="","",-N($N51))</f>
        <v/>
      </c>
      <c r="W51" s="61" t="str">
        <f aca="false">IF($M51="","",-($V51-$V51/(1+Datos!$B$2)))</f>
        <v/>
      </c>
      <c r="X51" s="61" t="str">
        <f aca="false">IF($M51="","",-$M51*Datos!$C$2)</f>
        <v/>
      </c>
      <c r="Y51" s="61" t="str">
        <f aca="false">IF($M51="","",IFERROR($M51+$U51+$T51+$P51+$Q51+$R51+$S51+$V51+$W51+$X51,"Error"))</f>
        <v/>
      </c>
      <c r="Z51" s="61" t="str">
        <f aca="false">IF($M51="","",IFERROR($Y51-$E51,"Error"))</f>
        <v/>
      </c>
      <c r="AA51" s="60" t="str">
        <f aca="false">IF($M51="","",IFERROR($Z51/($M51+$T51),"Error"))</f>
        <v/>
      </c>
      <c r="AB51" s="62" t="str">
        <f aca="false">IF($M51="","",IFERROR($M51/$E51,"Error"))</f>
        <v/>
      </c>
      <c r="AD51" s="59"/>
      <c r="AE51" s="57"/>
      <c r="AF51" s="58"/>
      <c r="AG51" s="60" t="str">
        <f aca="false">IF(N($AD51)=0,"",IFERROR(($AD51/(1+$L51)-($AD51*$O51+IF($AD51&lt;=15000,1000,IF($AD51&lt;=25000,2000,IF($AD51&lt;=33000,2400,0)))+N($N51))/(1+Datos!$B$2)-$AD51*Datos!$C$2-$C51)/($AD51/(1+$L51)),"Error"))</f>
        <v/>
      </c>
      <c r="AH51" s="61" t="str">
        <f aca="false">IF(N($AD51)=0,"",IFERROR($AD51/(1+$L51)*(1-$AF51)-($AD51*$O51+IF($AD51&lt;=15000,1000,IF($AD51&lt;=25000,2000,IF($AD51&lt;=33000,2400,0)))+N($N51))/(1+Datos!$B$2)-$AD51*Datos!$C$2,"Error"))</f>
        <v/>
      </c>
      <c r="AI51" s="61" t="str">
        <f aca="false">IF($AH51="","",IFERROR($AH51*(1+$D51),"Error"))</f>
        <v/>
      </c>
      <c r="AJ51" s="60" t="str">
        <f aca="false">IF($AH51="","",IFERROR($C51/$AH51-1,"Error"))</f>
        <v/>
      </c>
      <c r="AK51" s="63" t="str">
        <f aca="false">IF($AH51="","",IFERROR(IF($C51&lt;=$AH51,"OK a ese precio","Bajar costo"),"Error"))</f>
        <v/>
      </c>
    </row>
    <row r="52" customFormat="false" ht="15" hidden="false" customHeight="false" outlineLevel="0" collapsed="false">
      <c r="E52" s="0" t="str">
        <f aca="false">IF($C52="","",$C52*(1+$D52))</f>
        <v/>
      </c>
      <c r="J52" s="57"/>
      <c r="K52" s="57"/>
      <c r="L52" s="58"/>
      <c r="M52" s="59"/>
      <c r="N52" s="59"/>
      <c r="O52" s="60" t="str">
        <f aca="false">IF($M52="","",IFERROR(IF($K52="Clásica",VLOOKUP("Argentina"&amp;$J52,Datos!$C:$D,2,0),VLOOKUP("Argentina"&amp;$J52,Datos!$C:$D,2,0)+VLOOKUP("Argentina"&amp;$K52,Datos!$H:$I,2,0)),"Error"))</f>
        <v/>
      </c>
      <c r="P52" s="61" t="str">
        <f aca="false">IF($M52="","",IFERROR(-$M52*$O52,"Error"))</f>
        <v/>
      </c>
      <c r="Q52" s="61" t="str">
        <f aca="false">IF($M52="","",IFERROR(-($P52-$P52/(1+Datos!$B$2)),"Error"))</f>
        <v/>
      </c>
      <c r="R52" s="61" t="str">
        <f aca="false">IF($M52="","",IF($M52&lt;=15000,-1000,IF($M52&lt;=25000,-2000,IF($M52&lt;=33000,-2400,0))))</f>
        <v/>
      </c>
      <c r="S52" s="61" t="str">
        <f aca="false">IF($M52="","",-($R52-$R52/(1+Datos!$B$2)))</f>
        <v/>
      </c>
      <c r="T52" s="61" t="str">
        <f aca="false">IF($M52="","",-$M52/(1+$L52)*$L52)</f>
        <v/>
      </c>
      <c r="U52" s="61" t="str">
        <f aca="false">IF($M52="","",$C52*$D52)</f>
        <v/>
      </c>
      <c r="V52" s="61" t="str">
        <f aca="false">IF($M52="","",-N($N52))</f>
        <v/>
      </c>
      <c r="W52" s="61" t="str">
        <f aca="false">IF($M52="","",-($V52-$V52/(1+Datos!$B$2)))</f>
        <v/>
      </c>
      <c r="X52" s="61" t="str">
        <f aca="false">IF($M52="","",-$M52*Datos!$C$2)</f>
        <v/>
      </c>
      <c r="Y52" s="61" t="str">
        <f aca="false">IF($M52="","",IFERROR($M52+$U52+$T52+$P52+$Q52+$R52+$S52+$V52+$W52+$X52,"Error"))</f>
        <v/>
      </c>
      <c r="Z52" s="61" t="str">
        <f aca="false">IF($M52="","",IFERROR($Y52-$E52,"Error"))</f>
        <v/>
      </c>
      <c r="AA52" s="60" t="str">
        <f aca="false">IF($M52="","",IFERROR($Z52/($M52+$T52),"Error"))</f>
        <v/>
      </c>
      <c r="AB52" s="62" t="str">
        <f aca="false">IF($M52="","",IFERROR($M52/$E52,"Error"))</f>
        <v/>
      </c>
      <c r="AD52" s="59"/>
      <c r="AE52" s="57"/>
      <c r="AF52" s="58"/>
      <c r="AG52" s="60" t="str">
        <f aca="false">IF(N($AD52)=0,"",IFERROR(($AD52/(1+$L52)-($AD52*$O52+IF($AD52&lt;=15000,1000,IF($AD52&lt;=25000,2000,IF($AD52&lt;=33000,2400,0)))+N($N52))/(1+Datos!$B$2)-$AD52*Datos!$C$2-$C52)/($AD52/(1+$L52)),"Error"))</f>
        <v/>
      </c>
      <c r="AH52" s="61" t="str">
        <f aca="false">IF(N($AD52)=0,"",IFERROR($AD52/(1+$L52)*(1-$AF52)-($AD52*$O52+IF($AD52&lt;=15000,1000,IF($AD52&lt;=25000,2000,IF($AD52&lt;=33000,2400,0)))+N($N52))/(1+Datos!$B$2)-$AD52*Datos!$C$2,"Error"))</f>
        <v/>
      </c>
      <c r="AI52" s="61" t="str">
        <f aca="false">IF($AH52="","",IFERROR($AH52*(1+$D52),"Error"))</f>
        <v/>
      </c>
      <c r="AJ52" s="60" t="str">
        <f aca="false">IF($AH52="","",IFERROR($C52/$AH52-1,"Error"))</f>
        <v/>
      </c>
      <c r="AK52" s="63" t="str">
        <f aca="false">IF($AH52="","",IFERROR(IF($C52&lt;=$AH52,"OK a ese precio","Bajar costo"),"Error"))</f>
        <v/>
      </c>
    </row>
    <row r="53" customFormat="false" ht="15" hidden="false" customHeight="false" outlineLevel="0" collapsed="false">
      <c r="E53" s="0" t="str">
        <f aca="false">IF($C53="","",$C53*(1+$D53))</f>
        <v/>
      </c>
      <c r="J53" s="57"/>
      <c r="K53" s="57"/>
      <c r="L53" s="58"/>
      <c r="M53" s="59"/>
      <c r="N53" s="59"/>
      <c r="O53" s="60" t="str">
        <f aca="false">IF($M53="","",IFERROR(IF($K53="Clásica",VLOOKUP("Argentina"&amp;$J53,Datos!$C:$D,2,0),VLOOKUP("Argentina"&amp;$J53,Datos!$C:$D,2,0)+VLOOKUP("Argentina"&amp;$K53,Datos!$H:$I,2,0)),"Error"))</f>
        <v/>
      </c>
      <c r="P53" s="61" t="str">
        <f aca="false">IF($M53="","",IFERROR(-$M53*$O53,"Error"))</f>
        <v/>
      </c>
      <c r="Q53" s="61" t="str">
        <f aca="false">IF($M53="","",IFERROR(-($P53-$P53/(1+Datos!$B$2)),"Error"))</f>
        <v/>
      </c>
      <c r="R53" s="61" t="str">
        <f aca="false">IF($M53="","",IF($M53&lt;=15000,-1000,IF($M53&lt;=25000,-2000,IF($M53&lt;=33000,-2400,0))))</f>
        <v/>
      </c>
      <c r="S53" s="61" t="str">
        <f aca="false">IF($M53="","",-($R53-$R53/(1+Datos!$B$2)))</f>
        <v/>
      </c>
      <c r="T53" s="61" t="str">
        <f aca="false">IF($M53="","",-$M53/(1+$L53)*$L53)</f>
        <v/>
      </c>
      <c r="U53" s="61" t="str">
        <f aca="false">IF($M53="","",$C53*$D53)</f>
        <v/>
      </c>
      <c r="V53" s="61" t="str">
        <f aca="false">IF($M53="","",-N($N53))</f>
        <v/>
      </c>
      <c r="W53" s="61" t="str">
        <f aca="false">IF($M53="","",-($V53-$V53/(1+Datos!$B$2)))</f>
        <v/>
      </c>
      <c r="X53" s="61" t="str">
        <f aca="false">IF($M53="","",-$M53*Datos!$C$2)</f>
        <v/>
      </c>
      <c r="Y53" s="61" t="str">
        <f aca="false">IF($M53="","",IFERROR($M53+$U53+$T53+$P53+$Q53+$R53+$S53+$V53+$W53+$X53,"Error"))</f>
        <v/>
      </c>
      <c r="Z53" s="61" t="str">
        <f aca="false">IF($M53="","",IFERROR($Y53-$E53,"Error"))</f>
        <v/>
      </c>
      <c r="AA53" s="60" t="str">
        <f aca="false">IF($M53="","",IFERROR($Z53/($M53+$T53),"Error"))</f>
        <v/>
      </c>
      <c r="AB53" s="62" t="str">
        <f aca="false">IF($M53="","",IFERROR($M53/$E53,"Error"))</f>
        <v/>
      </c>
      <c r="AD53" s="59"/>
      <c r="AE53" s="57"/>
      <c r="AF53" s="58"/>
      <c r="AG53" s="60" t="str">
        <f aca="false">IF(N($AD53)=0,"",IFERROR(($AD53/(1+$L53)-($AD53*$O53+IF($AD53&lt;=15000,1000,IF($AD53&lt;=25000,2000,IF($AD53&lt;=33000,2400,0)))+N($N53))/(1+Datos!$B$2)-$AD53*Datos!$C$2-$C53)/($AD53/(1+$L53)),"Error"))</f>
        <v/>
      </c>
      <c r="AH53" s="61" t="str">
        <f aca="false">IF(N($AD53)=0,"",IFERROR($AD53/(1+$L53)*(1-$AF53)-($AD53*$O53+IF($AD53&lt;=15000,1000,IF($AD53&lt;=25000,2000,IF($AD53&lt;=33000,2400,0)))+N($N53))/(1+Datos!$B$2)-$AD53*Datos!$C$2,"Error"))</f>
        <v/>
      </c>
      <c r="AI53" s="61" t="str">
        <f aca="false">IF($AH53="","",IFERROR($AH53*(1+$D53),"Error"))</f>
        <v/>
      </c>
      <c r="AJ53" s="60" t="str">
        <f aca="false">IF($AH53="","",IFERROR($C53/$AH53-1,"Error"))</f>
        <v/>
      </c>
      <c r="AK53" s="63" t="str">
        <f aca="false">IF($AH53="","",IFERROR(IF($C53&lt;=$AH53,"OK a ese precio","Bajar costo"),"Error"))</f>
        <v/>
      </c>
    </row>
    <row r="54" customFormat="false" ht="15" hidden="false" customHeight="false" outlineLevel="0" collapsed="false">
      <c r="E54" s="0" t="str">
        <f aca="false">IF($C54="","",$C54*(1+$D54))</f>
        <v/>
      </c>
      <c r="J54" s="57"/>
      <c r="K54" s="57"/>
      <c r="L54" s="58"/>
      <c r="M54" s="59"/>
      <c r="N54" s="59"/>
      <c r="O54" s="60" t="str">
        <f aca="false">IF($M54="","",IFERROR(IF($K54="Clásica",VLOOKUP("Argentina"&amp;$J54,Datos!$C:$D,2,0),VLOOKUP("Argentina"&amp;$J54,Datos!$C:$D,2,0)+VLOOKUP("Argentina"&amp;$K54,Datos!$H:$I,2,0)),"Error"))</f>
        <v/>
      </c>
      <c r="P54" s="61" t="str">
        <f aca="false">IF($M54="","",IFERROR(-$M54*$O54,"Error"))</f>
        <v/>
      </c>
      <c r="Q54" s="61" t="str">
        <f aca="false">IF($M54="","",IFERROR(-($P54-$P54/(1+Datos!$B$2)),"Error"))</f>
        <v/>
      </c>
      <c r="R54" s="61" t="str">
        <f aca="false">IF($M54="","",IF($M54&lt;=15000,-1000,IF($M54&lt;=25000,-2000,IF($M54&lt;=33000,-2400,0))))</f>
        <v/>
      </c>
      <c r="S54" s="61" t="str">
        <f aca="false">IF($M54="","",-($R54-$R54/(1+Datos!$B$2)))</f>
        <v/>
      </c>
      <c r="T54" s="61" t="str">
        <f aca="false">IF($M54="","",-$M54/(1+$L54)*$L54)</f>
        <v/>
      </c>
      <c r="U54" s="61" t="str">
        <f aca="false">IF($M54="","",$C54*$D54)</f>
        <v/>
      </c>
      <c r="V54" s="61" t="str">
        <f aca="false">IF($M54="","",-N($N54))</f>
        <v/>
      </c>
      <c r="W54" s="61" t="str">
        <f aca="false">IF($M54="","",-($V54-$V54/(1+Datos!$B$2)))</f>
        <v/>
      </c>
      <c r="X54" s="61" t="str">
        <f aca="false">IF($M54="","",-$M54*Datos!$C$2)</f>
        <v/>
      </c>
      <c r="Y54" s="61" t="str">
        <f aca="false">IF($M54="","",IFERROR($M54+$U54+$T54+$P54+$Q54+$R54+$S54+$V54+$W54+$X54,"Error"))</f>
        <v/>
      </c>
      <c r="Z54" s="61" t="str">
        <f aca="false">IF($M54="","",IFERROR($Y54-$E54,"Error"))</f>
        <v/>
      </c>
      <c r="AA54" s="60" t="str">
        <f aca="false">IF($M54="","",IFERROR($Z54/($M54+$T54),"Error"))</f>
        <v/>
      </c>
      <c r="AB54" s="62" t="str">
        <f aca="false">IF($M54="","",IFERROR($M54/$E54,"Error"))</f>
        <v/>
      </c>
      <c r="AD54" s="59"/>
      <c r="AE54" s="57"/>
      <c r="AF54" s="58"/>
      <c r="AG54" s="60" t="str">
        <f aca="false">IF(N($AD54)=0,"",IFERROR(($AD54/(1+$L54)-($AD54*$O54+IF($AD54&lt;=15000,1000,IF($AD54&lt;=25000,2000,IF($AD54&lt;=33000,2400,0)))+N($N54))/(1+Datos!$B$2)-$AD54*Datos!$C$2-$C54)/($AD54/(1+$L54)),"Error"))</f>
        <v/>
      </c>
      <c r="AH54" s="61" t="str">
        <f aca="false">IF(N($AD54)=0,"",IFERROR($AD54/(1+$L54)*(1-$AF54)-($AD54*$O54+IF($AD54&lt;=15000,1000,IF($AD54&lt;=25000,2000,IF($AD54&lt;=33000,2400,0)))+N($N54))/(1+Datos!$B$2)-$AD54*Datos!$C$2,"Error"))</f>
        <v/>
      </c>
      <c r="AI54" s="61" t="str">
        <f aca="false">IF($AH54="","",IFERROR($AH54*(1+$D54),"Error"))</f>
        <v/>
      </c>
      <c r="AJ54" s="60" t="str">
        <f aca="false">IF($AH54="","",IFERROR($C54/$AH54-1,"Error"))</f>
        <v/>
      </c>
      <c r="AK54" s="63" t="str">
        <f aca="false">IF($AH54="","",IFERROR(IF($C54&lt;=$AH54,"OK a ese precio","Bajar costo"),"Error"))</f>
        <v/>
      </c>
    </row>
    <row r="55" customFormat="false" ht="15" hidden="false" customHeight="false" outlineLevel="0" collapsed="false">
      <c r="E55" s="0" t="str">
        <f aca="false">IF($C55="","",$C55*(1+$D55))</f>
        <v/>
      </c>
      <c r="J55" s="57"/>
      <c r="K55" s="57"/>
      <c r="L55" s="58"/>
      <c r="M55" s="59"/>
      <c r="N55" s="59"/>
      <c r="O55" s="60" t="str">
        <f aca="false">IF($M55="","",IFERROR(IF($K55="Clásica",VLOOKUP("Argentina"&amp;$J55,Datos!$C:$D,2,0),VLOOKUP("Argentina"&amp;$J55,Datos!$C:$D,2,0)+VLOOKUP("Argentina"&amp;$K55,Datos!$H:$I,2,0)),"Error"))</f>
        <v/>
      </c>
      <c r="P55" s="61" t="str">
        <f aca="false">IF($M55="","",IFERROR(-$M55*$O55,"Error"))</f>
        <v/>
      </c>
      <c r="Q55" s="61" t="str">
        <f aca="false">IF($M55="","",IFERROR(-($P55-$P55/(1+Datos!$B$2)),"Error"))</f>
        <v/>
      </c>
      <c r="R55" s="61" t="str">
        <f aca="false">IF($M55="","",IF($M55&lt;=15000,-1000,IF($M55&lt;=25000,-2000,IF($M55&lt;=33000,-2400,0))))</f>
        <v/>
      </c>
      <c r="S55" s="61" t="str">
        <f aca="false">IF($M55="","",-($R55-$R55/(1+Datos!$B$2)))</f>
        <v/>
      </c>
      <c r="T55" s="61" t="str">
        <f aca="false">IF($M55="","",-$M55/(1+$L55)*$L55)</f>
        <v/>
      </c>
      <c r="U55" s="61" t="str">
        <f aca="false">IF($M55="","",$C55*$D55)</f>
        <v/>
      </c>
      <c r="V55" s="61" t="str">
        <f aca="false">IF($M55="","",-N($N55))</f>
        <v/>
      </c>
      <c r="W55" s="61" t="str">
        <f aca="false">IF($M55="","",-($V55-$V55/(1+Datos!$B$2)))</f>
        <v/>
      </c>
      <c r="X55" s="61" t="str">
        <f aca="false">IF($M55="","",-$M55*Datos!$C$2)</f>
        <v/>
      </c>
      <c r="Y55" s="61" t="str">
        <f aca="false">IF($M55="","",IFERROR($M55+$U55+$T55+$P55+$Q55+$R55+$S55+$V55+$W55+$X55,"Error"))</f>
        <v/>
      </c>
      <c r="Z55" s="61" t="str">
        <f aca="false">IF($M55="","",IFERROR($Y55-$E55,"Error"))</f>
        <v/>
      </c>
      <c r="AA55" s="60" t="str">
        <f aca="false">IF($M55="","",IFERROR($Z55/($M55+$T55),"Error"))</f>
        <v/>
      </c>
      <c r="AB55" s="62" t="str">
        <f aca="false">IF($M55="","",IFERROR($M55/$E55,"Error"))</f>
        <v/>
      </c>
      <c r="AD55" s="59"/>
      <c r="AE55" s="57"/>
      <c r="AF55" s="58"/>
      <c r="AG55" s="60" t="str">
        <f aca="false">IF(N($AD55)=0,"",IFERROR(($AD55/(1+$L55)-($AD55*$O55+IF($AD55&lt;=15000,1000,IF($AD55&lt;=25000,2000,IF($AD55&lt;=33000,2400,0)))+N($N55))/(1+Datos!$B$2)-$AD55*Datos!$C$2-$C55)/($AD55/(1+$L55)),"Error"))</f>
        <v/>
      </c>
      <c r="AH55" s="61" t="str">
        <f aca="false">IF(N($AD55)=0,"",IFERROR($AD55/(1+$L55)*(1-$AF55)-($AD55*$O55+IF($AD55&lt;=15000,1000,IF($AD55&lt;=25000,2000,IF($AD55&lt;=33000,2400,0)))+N($N55))/(1+Datos!$B$2)-$AD55*Datos!$C$2,"Error"))</f>
        <v/>
      </c>
      <c r="AI55" s="61" t="str">
        <f aca="false">IF($AH55="","",IFERROR($AH55*(1+$D55),"Error"))</f>
        <v/>
      </c>
      <c r="AJ55" s="60" t="str">
        <f aca="false">IF($AH55="","",IFERROR($C55/$AH55-1,"Error"))</f>
        <v/>
      </c>
      <c r="AK55" s="63" t="str">
        <f aca="false">IF($AH55="","",IFERROR(IF($C55&lt;=$AH55,"OK a ese precio","Bajar costo"),"Error"))</f>
        <v/>
      </c>
    </row>
    <row r="56" customFormat="false" ht="15" hidden="false" customHeight="false" outlineLevel="0" collapsed="false">
      <c r="E56" s="0" t="str">
        <f aca="false">IF($C56="","",$C56*(1+$D56))</f>
        <v/>
      </c>
      <c r="J56" s="57"/>
      <c r="K56" s="57"/>
      <c r="L56" s="58"/>
      <c r="M56" s="59"/>
      <c r="N56" s="59"/>
      <c r="O56" s="60" t="str">
        <f aca="false">IF($M56="","",IFERROR(IF($K56="Clásica",VLOOKUP("Argentina"&amp;$J56,Datos!$C:$D,2,0),VLOOKUP("Argentina"&amp;$J56,Datos!$C:$D,2,0)+VLOOKUP("Argentina"&amp;$K56,Datos!$H:$I,2,0)),"Error"))</f>
        <v/>
      </c>
      <c r="P56" s="61" t="str">
        <f aca="false">IF($M56="","",IFERROR(-$M56*$O56,"Error"))</f>
        <v/>
      </c>
      <c r="Q56" s="61" t="str">
        <f aca="false">IF($M56="","",IFERROR(-($P56-$P56/(1+Datos!$B$2)),"Error"))</f>
        <v/>
      </c>
      <c r="R56" s="61" t="str">
        <f aca="false">IF($M56="","",IF($M56&lt;=15000,-1000,IF($M56&lt;=25000,-2000,IF($M56&lt;=33000,-2400,0))))</f>
        <v/>
      </c>
      <c r="S56" s="61" t="str">
        <f aca="false">IF($M56="","",-($R56-$R56/(1+Datos!$B$2)))</f>
        <v/>
      </c>
      <c r="T56" s="61" t="str">
        <f aca="false">IF($M56="","",-$M56/(1+$L56)*$L56)</f>
        <v/>
      </c>
      <c r="U56" s="61" t="str">
        <f aca="false">IF($M56="","",$C56*$D56)</f>
        <v/>
      </c>
      <c r="V56" s="61" t="str">
        <f aca="false">IF($M56="","",-N($N56))</f>
        <v/>
      </c>
      <c r="W56" s="61" t="str">
        <f aca="false">IF($M56="","",-($V56-$V56/(1+Datos!$B$2)))</f>
        <v/>
      </c>
      <c r="X56" s="61" t="str">
        <f aca="false">IF($M56="","",-$M56*Datos!$C$2)</f>
        <v/>
      </c>
      <c r="Y56" s="61" t="str">
        <f aca="false">IF($M56="","",IFERROR($M56+$U56+$T56+$P56+$Q56+$R56+$S56+$V56+$W56+$X56,"Error"))</f>
        <v/>
      </c>
      <c r="Z56" s="61" t="str">
        <f aca="false">IF($M56="","",IFERROR($Y56-$E56,"Error"))</f>
        <v/>
      </c>
      <c r="AA56" s="60" t="str">
        <f aca="false">IF($M56="","",IFERROR($Z56/($M56+$T56),"Error"))</f>
        <v/>
      </c>
      <c r="AB56" s="62" t="str">
        <f aca="false">IF($M56="","",IFERROR($M56/$E56,"Error"))</f>
        <v/>
      </c>
      <c r="AD56" s="59"/>
      <c r="AE56" s="57"/>
      <c r="AF56" s="58"/>
      <c r="AG56" s="60" t="str">
        <f aca="false">IF(N($AD56)=0,"",IFERROR(($AD56/(1+$L56)-($AD56*$O56+IF($AD56&lt;=15000,1000,IF($AD56&lt;=25000,2000,IF($AD56&lt;=33000,2400,0)))+N($N56))/(1+Datos!$B$2)-$AD56*Datos!$C$2-$C56)/($AD56/(1+$L56)),"Error"))</f>
        <v/>
      </c>
      <c r="AH56" s="61" t="str">
        <f aca="false">IF(N($AD56)=0,"",IFERROR($AD56/(1+$L56)*(1-$AF56)-($AD56*$O56+IF($AD56&lt;=15000,1000,IF($AD56&lt;=25000,2000,IF($AD56&lt;=33000,2400,0)))+N($N56))/(1+Datos!$B$2)-$AD56*Datos!$C$2,"Error"))</f>
        <v/>
      </c>
      <c r="AI56" s="61" t="str">
        <f aca="false">IF($AH56="","",IFERROR($AH56*(1+$D56),"Error"))</f>
        <v/>
      </c>
      <c r="AJ56" s="60" t="str">
        <f aca="false">IF($AH56="","",IFERROR($C56/$AH56-1,"Error"))</f>
        <v/>
      </c>
      <c r="AK56" s="63" t="str">
        <f aca="false">IF($AH56="","",IFERROR(IF($C56&lt;=$AH56,"OK a ese precio","Bajar costo"),"Error"))</f>
        <v/>
      </c>
    </row>
    <row r="57" customFormat="false" ht="15" hidden="false" customHeight="false" outlineLevel="0" collapsed="false">
      <c r="E57" s="0" t="str">
        <f aca="false">IF($C57="","",$C57*(1+$D57))</f>
        <v/>
      </c>
      <c r="J57" s="57"/>
      <c r="K57" s="57"/>
      <c r="L57" s="58"/>
      <c r="M57" s="59"/>
      <c r="N57" s="59"/>
      <c r="O57" s="60" t="str">
        <f aca="false">IF($M57="","",IFERROR(IF($K57="Clásica",VLOOKUP("Argentina"&amp;$J57,Datos!$C:$D,2,0),VLOOKUP("Argentina"&amp;$J57,Datos!$C:$D,2,0)+VLOOKUP("Argentina"&amp;$K57,Datos!$H:$I,2,0)),"Error"))</f>
        <v/>
      </c>
      <c r="P57" s="61" t="str">
        <f aca="false">IF($M57="","",IFERROR(-$M57*$O57,"Error"))</f>
        <v/>
      </c>
      <c r="Q57" s="61" t="str">
        <f aca="false">IF($M57="","",IFERROR(-($P57-$P57/(1+Datos!$B$2)),"Error"))</f>
        <v/>
      </c>
      <c r="R57" s="61" t="str">
        <f aca="false">IF($M57="","",IF($M57&lt;=15000,-1000,IF($M57&lt;=25000,-2000,IF($M57&lt;=33000,-2400,0))))</f>
        <v/>
      </c>
      <c r="S57" s="61" t="str">
        <f aca="false">IF($M57="","",-($R57-$R57/(1+Datos!$B$2)))</f>
        <v/>
      </c>
      <c r="T57" s="61" t="str">
        <f aca="false">IF($M57="","",-$M57/(1+$L57)*$L57)</f>
        <v/>
      </c>
      <c r="U57" s="61" t="str">
        <f aca="false">IF($M57="","",$C57*$D57)</f>
        <v/>
      </c>
      <c r="V57" s="61" t="str">
        <f aca="false">IF($M57="","",-N($N57))</f>
        <v/>
      </c>
      <c r="W57" s="61" t="str">
        <f aca="false">IF($M57="","",-($V57-$V57/(1+Datos!$B$2)))</f>
        <v/>
      </c>
      <c r="X57" s="61" t="str">
        <f aca="false">IF($M57="","",-$M57*Datos!$C$2)</f>
        <v/>
      </c>
      <c r="Y57" s="61" t="str">
        <f aca="false">IF($M57="","",IFERROR($M57+$U57+$T57+$P57+$Q57+$R57+$S57+$V57+$W57+$X57,"Error"))</f>
        <v/>
      </c>
      <c r="Z57" s="61" t="str">
        <f aca="false">IF($M57="","",IFERROR($Y57-$E57,"Error"))</f>
        <v/>
      </c>
      <c r="AA57" s="60" t="str">
        <f aca="false">IF($M57="","",IFERROR($Z57/($M57+$T57),"Error"))</f>
        <v/>
      </c>
      <c r="AB57" s="62" t="str">
        <f aca="false">IF($M57="","",IFERROR($M57/$E57,"Error"))</f>
        <v/>
      </c>
      <c r="AD57" s="59"/>
      <c r="AE57" s="57"/>
      <c r="AF57" s="58"/>
      <c r="AG57" s="60" t="str">
        <f aca="false">IF(N($AD57)=0,"",IFERROR(($AD57/(1+$L57)-($AD57*$O57+IF($AD57&lt;=15000,1000,IF($AD57&lt;=25000,2000,IF($AD57&lt;=33000,2400,0)))+N($N57))/(1+Datos!$B$2)-$AD57*Datos!$C$2-$C57)/($AD57/(1+$L57)),"Error"))</f>
        <v/>
      </c>
      <c r="AH57" s="61" t="str">
        <f aca="false">IF(N($AD57)=0,"",IFERROR($AD57/(1+$L57)*(1-$AF57)-($AD57*$O57+IF($AD57&lt;=15000,1000,IF($AD57&lt;=25000,2000,IF($AD57&lt;=33000,2400,0)))+N($N57))/(1+Datos!$B$2)-$AD57*Datos!$C$2,"Error"))</f>
        <v/>
      </c>
      <c r="AI57" s="61" t="str">
        <f aca="false">IF($AH57="","",IFERROR($AH57*(1+$D57),"Error"))</f>
        <v/>
      </c>
      <c r="AJ57" s="60" t="str">
        <f aca="false">IF($AH57="","",IFERROR($C57/$AH57-1,"Error"))</f>
        <v/>
      </c>
      <c r="AK57" s="63" t="str">
        <f aca="false">IF($AH57="","",IFERROR(IF($C57&lt;=$AH57,"OK a ese precio","Bajar costo"),"Error"))</f>
        <v/>
      </c>
    </row>
    <row r="58" customFormat="false" ht="15" hidden="false" customHeight="false" outlineLevel="0" collapsed="false">
      <c r="E58" s="0" t="str">
        <f aca="false">IF($C58="","",$C58*(1+$D58))</f>
        <v/>
      </c>
      <c r="J58" s="57"/>
      <c r="K58" s="57"/>
      <c r="L58" s="58"/>
      <c r="M58" s="59"/>
      <c r="N58" s="59"/>
      <c r="O58" s="60" t="str">
        <f aca="false">IF($M58="","",IFERROR(IF($K58="Clásica",VLOOKUP("Argentina"&amp;$J58,Datos!$C:$D,2,0),VLOOKUP("Argentina"&amp;$J58,Datos!$C:$D,2,0)+VLOOKUP("Argentina"&amp;$K58,Datos!$H:$I,2,0)),"Error"))</f>
        <v/>
      </c>
      <c r="P58" s="61" t="str">
        <f aca="false">IF($M58="","",IFERROR(-$M58*$O58,"Error"))</f>
        <v/>
      </c>
      <c r="Q58" s="61" t="str">
        <f aca="false">IF($M58="","",IFERROR(-($P58-$P58/(1+Datos!$B$2)),"Error"))</f>
        <v/>
      </c>
      <c r="R58" s="61" t="str">
        <f aca="false">IF($M58="","",IF($M58&lt;=15000,-1000,IF($M58&lt;=25000,-2000,IF($M58&lt;=33000,-2400,0))))</f>
        <v/>
      </c>
      <c r="S58" s="61" t="str">
        <f aca="false">IF($M58="","",-($R58-$R58/(1+Datos!$B$2)))</f>
        <v/>
      </c>
      <c r="T58" s="61" t="str">
        <f aca="false">IF($M58="","",-$M58/(1+$L58)*$L58)</f>
        <v/>
      </c>
      <c r="U58" s="61" t="str">
        <f aca="false">IF($M58="","",$C58*$D58)</f>
        <v/>
      </c>
      <c r="V58" s="61" t="str">
        <f aca="false">IF($M58="","",-N($N58))</f>
        <v/>
      </c>
      <c r="W58" s="61" t="str">
        <f aca="false">IF($M58="","",-($V58-$V58/(1+Datos!$B$2)))</f>
        <v/>
      </c>
      <c r="X58" s="61" t="str">
        <f aca="false">IF($M58="","",-$M58*Datos!$C$2)</f>
        <v/>
      </c>
      <c r="Y58" s="61" t="str">
        <f aca="false">IF($M58="","",IFERROR($M58+$U58+$T58+$P58+$Q58+$R58+$S58+$V58+$W58+$X58,"Error"))</f>
        <v/>
      </c>
      <c r="Z58" s="61" t="str">
        <f aca="false">IF($M58="","",IFERROR($Y58-$E58,"Error"))</f>
        <v/>
      </c>
      <c r="AA58" s="60" t="str">
        <f aca="false">IF($M58="","",IFERROR($Z58/($M58+$T58),"Error"))</f>
        <v/>
      </c>
      <c r="AB58" s="62" t="str">
        <f aca="false">IF($M58="","",IFERROR($M58/$E58,"Error"))</f>
        <v/>
      </c>
      <c r="AD58" s="59"/>
      <c r="AE58" s="57"/>
      <c r="AF58" s="58"/>
      <c r="AG58" s="60" t="str">
        <f aca="false">IF(N($AD58)=0,"",IFERROR(($AD58/(1+$L58)-($AD58*$O58+IF($AD58&lt;=15000,1000,IF($AD58&lt;=25000,2000,IF($AD58&lt;=33000,2400,0)))+N($N58))/(1+Datos!$B$2)-$AD58*Datos!$C$2-$C58)/($AD58/(1+$L58)),"Error"))</f>
        <v/>
      </c>
      <c r="AH58" s="61" t="str">
        <f aca="false">IF(N($AD58)=0,"",IFERROR($AD58/(1+$L58)*(1-$AF58)-($AD58*$O58+IF($AD58&lt;=15000,1000,IF($AD58&lt;=25000,2000,IF($AD58&lt;=33000,2400,0)))+N($N58))/(1+Datos!$B$2)-$AD58*Datos!$C$2,"Error"))</f>
        <v/>
      </c>
      <c r="AI58" s="61" t="str">
        <f aca="false">IF($AH58="","",IFERROR($AH58*(1+$D58),"Error"))</f>
        <v/>
      </c>
      <c r="AJ58" s="60" t="str">
        <f aca="false">IF($AH58="","",IFERROR($C58/$AH58-1,"Error"))</f>
        <v/>
      </c>
      <c r="AK58" s="63" t="str">
        <f aca="false">IF($AH58="","",IFERROR(IF($C58&lt;=$AH58,"OK a ese precio","Bajar costo"),"Error"))</f>
        <v/>
      </c>
    </row>
    <row r="59" customFormat="false" ht="15" hidden="false" customHeight="false" outlineLevel="0" collapsed="false">
      <c r="E59" s="0" t="str">
        <f aca="false">IF($C59="","",$C59*(1+$D59))</f>
        <v/>
      </c>
      <c r="J59" s="57"/>
      <c r="K59" s="57"/>
      <c r="L59" s="58"/>
      <c r="M59" s="59"/>
      <c r="N59" s="59"/>
      <c r="O59" s="60" t="str">
        <f aca="false">IF($M59="","",IFERROR(IF($K59="Clásica",VLOOKUP("Argentina"&amp;$J59,Datos!$C:$D,2,0),VLOOKUP("Argentina"&amp;$J59,Datos!$C:$D,2,0)+VLOOKUP("Argentina"&amp;$K59,Datos!$H:$I,2,0)),"Error"))</f>
        <v/>
      </c>
      <c r="P59" s="61" t="str">
        <f aca="false">IF($M59="","",IFERROR(-$M59*$O59,"Error"))</f>
        <v/>
      </c>
      <c r="Q59" s="61" t="str">
        <f aca="false">IF($M59="","",IFERROR(-($P59-$P59/(1+Datos!$B$2)),"Error"))</f>
        <v/>
      </c>
      <c r="R59" s="61" t="str">
        <f aca="false">IF($M59="","",IF($M59&lt;=15000,-1000,IF($M59&lt;=25000,-2000,IF($M59&lt;=33000,-2400,0))))</f>
        <v/>
      </c>
      <c r="S59" s="61" t="str">
        <f aca="false">IF($M59="","",-($R59-$R59/(1+Datos!$B$2)))</f>
        <v/>
      </c>
      <c r="T59" s="61" t="str">
        <f aca="false">IF($M59="","",-$M59/(1+$L59)*$L59)</f>
        <v/>
      </c>
      <c r="U59" s="61" t="str">
        <f aca="false">IF($M59="","",$C59*$D59)</f>
        <v/>
      </c>
      <c r="V59" s="61" t="str">
        <f aca="false">IF($M59="","",-N($N59))</f>
        <v/>
      </c>
      <c r="W59" s="61" t="str">
        <f aca="false">IF($M59="","",-($V59-$V59/(1+Datos!$B$2)))</f>
        <v/>
      </c>
      <c r="X59" s="61" t="str">
        <f aca="false">IF($M59="","",-$M59*Datos!$C$2)</f>
        <v/>
      </c>
      <c r="Y59" s="61" t="str">
        <f aca="false">IF($M59="","",IFERROR($M59+$U59+$T59+$P59+$Q59+$R59+$S59+$V59+$W59+$X59,"Error"))</f>
        <v/>
      </c>
      <c r="Z59" s="61" t="str">
        <f aca="false">IF($M59="","",IFERROR($Y59-$E59,"Error"))</f>
        <v/>
      </c>
      <c r="AA59" s="60" t="str">
        <f aca="false">IF($M59="","",IFERROR($Z59/($M59+$T59),"Error"))</f>
        <v/>
      </c>
      <c r="AB59" s="62" t="str">
        <f aca="false">IF($M59="","",IFERROR($M59/$E59,"Error"))</f>
        <v/>
      </c>
      <c r="AD59" s="59"/>
      <c r="AE59" s="57"/>
      <c r="AF59" s="58"/>
      <c r="AG59" s="60" t="str">
        <f aca="false">IF(N($AD59)=0,"",IFERROR(($AD59/(1+$L59)-($AD59*$O59+IF($AD59&lt;=15000,1000,IF($AD59&lt;=25000,2000,IF($AD59&lt;=33000,2400,0)))+N($N59))/(1+Datos!$B$2)-$AD59*Datos!$C$2-$C59)/($AD59/(1+$L59)),"Error"))</f>
        <v/>
      </c>
      <c r="AH59" s="61" t="str">
        <f aca="false">IF(N($AD59)=0,"",IFERROR($AD59/(1+$L59)*(1-$AF59)-($AD59*$O59+IF($AD59&lt;=15000,1000,IF($AD59&lt;=25000,2000,IF($AD59&lt;=33000,2400,0)))+N($N59))/(1+Datos!$B$2)-$AD59*Datos!$C$2,"Error"))</f>
        <v/>
      </c>
      <c r="AI59" s="61" t="str">
        <f aca="false">IF($AH59="","",IFERROR($AH59*(1+$D59),"Error"))</f>
        <v/>
      </c>
      <c r="AJ59" s="60" t="str">
        <f aca="false">IF($AH59="","",IFERROR($C59/$AH59-1,"Error"))</f>
        <v/>
      </c>
      <c r="AK59" s="63" t="str">
        <f aca="false">IF($AH59="","",IFERROR(IF($C59&lt;=$AH59,"OK a ese precio","Bajar costo"),"Error"))</f>
        <v/>
      </c>
    </row>
    <row r="60" customFormat="false" ht="15" hidden="false" customHeight="false" outlineLevel="0" collapsed="false">
      <c r="E60" s="0" t="str">
        <f aca="false">IF($C60="","",$C60*(1+$D60))</f>
        <v/>
      </c>
      <c r="J60" s="57"/>
      <c r="K60" s="57"/>
      <c r="L60" s="58"/>
      <c r="M60" s="59"/>
      <c r="N60" s="59"/>
      <c r="O60" s="60" t="str">
        <f aca="false">IF($M60="","",IFERROR(IF($K60="Clásica",VLOOKUP("Argentina"&amp;$J60,Datos!$C:$D,2,0),VLOOKUP("Argentina"&amp;$J60,Datos!$C:$D,2,0)+VLOOKUP("Argentina"&amp;$K60,Datos!$H:$I,2,0)),"Error"))</f>
        <v/>
      </c>
      <c r="P60" s="61" t="str">
        <f aca="false">IF($M60="","",IFERROR(-$M60*$O60,"Error"))</f>
        <v/>
      </c>
      <c r="Q60" s="61" t="str">
        <f aca="false">IF($M60="","",IFERROR(-($P60-$P60/(1+Datos!$B$2)),"Error"))</f>
        <v/>
      </c>
      <c r="R60" s="61" t="str">
        <f aca="false">IF($M60="","",IF($M60&lt;=15000,-1000,IF($M60&lt;=25000,-2000,IF($M60&lt;=33000,-2400,0))))</f>
        <v/>
      </c>
      <c r="S60" s="61" t="str">
        <f aca="false">IF($M60="","",-($R60-$R60/(1+Datos!$B$2)))</f>
        <v/>
      </c>
      <c r="T60" s="61" t="str">
        <f aca="false">IF($M60="","",-$M60/(1+$L60)*$L60)</f>
        <v/>
      </c>
      <c r="U60" s="61" t="str">
        <f aca="false">IF($M60="","",$C60*$D60)</f>
        <v/>
      </c>
      <c r="V60" s="61" t="str">
        <f aca="false">IF($M60="","",-N($N60))</f>
        <v/>
      </c>
      <c r="W60" s="61" t="str">
        <f aca="false">IF($M60="","",-($V60-$V60/(1+Datos!$B$2)))</f>
        <v/>
      </c>
      <c r="X60" s="61" t="str">
        <f aca="false">IF($M60="","",-$M60*Datos!$C$2)</f>
        <v/>
      </c>
      <c r="Y60" s="61" t="str">
        <f aca="false">IF($M60="","",IFERROR($M60+$U60+$T60+$P60+$Q60+$R60+$S60+$V60+$W60+$X60,"Error"))</f>
        <v/>
      </c>
      <c r="Z60" s="61" t="str">
        <f aca="false">IF($M60="","",IFERROR($Y60-$E60,"Error"))</f>
        <v/>
      </c>
      <c r="AA60" s="60" t="str">
        <f aca="false">IF($M60="","",IFERROR($Z60/($M60+$T60),"Error"))</f>
        <v/>
      </c>
      <c r="AB60" s="62" t="str">
        <f aca="false">IF($M60="","",IFERROR($M60/$E60,"Error"))</f>
        <v/>
      </c>
      <c r="AD60" s="59"/>
      <c r="AE60" s="57"/>
      <c r="AF60" s="58"/>
      <c r="AG60" s="60" t="str">
        <f aca="false">IF(N($AD60)=0,"",IFERROR(($AD60/(1+$L60)-($AD60*$O60+IF($AD60&lt;=15000,1000,IF($AD60&lt;=25000,2000,IF($AD60&lt;=33000,2400,0)))+N($N60))/(1+Datos!$B$2)-$AD60*Datos!$C$2-$C60)/($AD60/(1+$L60)),"Error"))</f>
        <v/>
      </c>
      <c r="AH60" s="61" t="str">
        <f aca="false">IF(N($AD60)=0,"",IFERROR($AD60/(1+$L60)*(1-$AF60)-($AD60*$O60+IF($AD60&lt;=15000,1000,IF($AD60&lt;=25000,2000,IF($AD60&lt;=33000,2400,0)))+N($N60))/(1+Datos!$B$2)-$AD60*Datos!$C$2,"Error"))</f>
        <v/>
      </c>
      <c r="AI60" s="61" t="str">
        <f aca="false">IF($AH60="","",IFERROR($AH60*(1+$D60),"Error"))</f>
        <v/>
      </c>
      <c r="AJ60" s="60" t="str">
        <f aca="false">IF($AH60="","",IFERROR($C60/$AH60-1,"Error"))</f>
        <v/>
      </c>
      <c r="AK60" s="63" t="str">
        <f aca="false">IF($AH60="","",IFERROR(IF($C60&lt;=$AH60,"OK a ese precio","Bajar costo"),"Error"))</f>
        <v/>
      </c>
    </row>
    <row r="61" customFormat="false" ht="15" hidden="false" customHeight="false" outlineLevel="0" collapsed="false">
      <c r="E61" s="0" t="str">
        <f aca="false">IF($C61="","",$C61*(1+$D61))</f>
        <v/>
      </c>
      <c r="J61" s="57"/>
      <c r="K61" s="57"/>
      <c r="L61" s="58"/>
      <c r="M61" s="59"/>
      <c r="N61" s="59"/>
      <c r="O61" s="60" t="str">
        <f aca="false">IF($M61="","",IFERROR(IF($K61="Clásica",VLOOKUP("Argentina"&amp;$J61,Datos!$C:$D,2,0),VLOOKUP("Argentina"&amp;$J61,Datos!$C:$D,2,0)+VLOOKUP("Argentina"&amp;$K61,Datos!$H:$I,2,0)),"Error"))</f>
        <v/>
      </c>
      <c r="P61" s="61" t="str">
        <f aca="false">IF($M61="","",IFERROR(-$M61*$O61,"Error"))</f>
        <v/>
      </c>
      <c r="Q61" s="61" t="str">
        <f aca="false">IF($M61="","",IFERROR(-($P61-$P61/(1+Datos!$B$2)),"Error"))</f>
        <v/>
      </c>
      <c r="R61" s="61" t="str">
        <f aca="false">IF($M61="","",IF($M61&lt;=15000,-1000,IF($M61&lt;=25000,-2000,IF($M61&lt;=33000,-2400,0))))</f>
        <v/>
      </c>
      <c r="S61" s="61" t="str">
        <f aca="false">IF($M61="","",-($R61-$R61/(1+Datos!$B$2)))</f>
        <v/>
      </c>
      <c r="T61" s="61" t="str">
        <f aca="false">IF($M61="","",-$M61/(1+$L61)*$L61)</f>
        <v/>
      </c>
      <c r="U61" s="61" t="str">
        <f aca="false">IF($M61="","",$C61*$D61)</f>
        <v/>
      </c>
      <c r="V61" s="61" t="str">
        <f aca="false">IF($M61="","",-N($N61))</f>
        <v/>
      </c>
      <c r="W61" s="61" t="str">
        <f aca="false">IF($M61="","",-($V61-$V61/(1+Datos!$B$2)))</f>
        <v/>
      </c>
      <c r="X61" s="61" t="str">
        <f aca="false">IF($M61="","",-$M61*Datos!$C$2)</f>
        <v/>
      </c>
      <c r="Y61" s="61" t="str">
        <f aca="false">IF($M61="","",IFERROR($M61+$U61+$T61+$P61+$Q61+$R61+$S61+$V61+$W61+$X61,"Error"))</f>
        <v/>
      </c>
      <c r="Z61" s="61" t="str">
        <f aca="false">IF($M61="","",IFERROR($Y61-$E61,"Error"))</f>
        <v/>
      </c>
      <c r="AA61" s="60" t="str">
        <f aca="false">IF($M61="","",IFERROR($Z61/($M61+$T61),"Error"))</f>
        <v/>
      </c>
      <c r="AB61" s="62" t="str">
        <f aca="false">IF($M61="","",IFERROR($M61/$E61,"Error"))</f>
        <v/>
      </c>
      <c r="AD61" s="59"/>
      <c r="AE61" s="57"/>
      <c r="AF61" s="58"/>
      <c r="AG61" s="60" t="str">
        <f aca="false">IF(N($AD61)=0,"",IFERROR(($AD61/(1+$L61)-($AD61*$O61+IF($AD61&lt;=15000,1000,IF($AD61&lt;=25000,2000,IF($AD61&lt;=33000,2400,0)))+N($N61))/(1+Datos!$B$2)-$AD61*Datos!$C$2-$C61)/($AD61/(1+$L61)),"Error"))</f>
        <v/>
      </c>
      <c r="AH61" s="61" t="str">
        <f aca="false">IF(N($AD61)=0,"",IFERROR($AD61/(1+$L61)*(1-$AF61)-($AD61*$O61+IF($AD61&lt;=15000,1000,IF($AD61&lt;=25000,2000,IF($AD61&lt;=33000,2400,0)))+N($N61))/(1+Datos!$B$2)-$AD61*Datos!$C$2,"Error"))</f>
        <v/>
      </c>
      <c r="AI61" s="61" t="str">
        <f aca="false">IF($AH61="","",IFERROR($AH61*(1+$D61),"Error"))</f>
        <v/>
      </c>
      <c r="AJ61" s="60" t="str">
        <f aca="false">IF($AH61="","",IFERROR($C61/$AH61-1,"Error"))</f>
        <v/>
      </c>
      <c r="AK61" s="63" t="str">
        <f aca="false">IF($AH61="","",IFERROR(IF($C61&lt;=$AH61,"OK a ese precio","Bajar costo"),"Error"))</f>
        <v/>
      </c>
    </row>
    <row r="62" customFormat="false" ht="15" hidden="false" customHeight="false" outlineLevel="0" collapsed="false">
      <c r="E62" s="0" t="str">
        <f aca="false">IF($C62="","",$C62*(1+$D62))</f>
        <v/>
      </c>
      <c r="J62" s="57"/>
      <c r="K62" s="57"/>
      <c r="L62" s="58"/>
      <c r="M62" s="59"/>
      <c r="N62" s="59"/>
      <c r="O62" s="60" t="str">
        <f aca="false">IF($M62="","",IFERROR(IF($K62="Clásica",VLOOKUP("Argentina"&amp;$J62,Datos!$C:$D,2,0),VLOOKUP("Argentina"&amp;$J62,Datos!$C:$D,2,0)+VLOOKUP("Argentina"&amp;$K62,Datos!$H:$I,2,0)),"Error"))</f>
        <v/>
      </c>
      <c r="P62" s="61" t="str">
        <f aca="false">IF($M62="","",IFERROR(-$M62*$O62,"Error"))</f>
        <v/>
      </c>
      <c r="Q62" s="61" t="str">
        <f aca="false">IF($M62="","",IFERROR(-($P62-$P62/(1+Datos!$B$2)),"Error"))</f>
        <v/>
      </c>
      <c r="R62" s="61" t="str">
        <f aca="false">IF($M62="","",IF($M62&lt;=15000,-1000,IF($M62&lt;=25000,-2000,IF($M62&lt;=33000,-2400,0))))</f>
        <v/>
      </c>
      <c r="S62" s="61" t="str">
        <f aca="false">IF($M62="","",-($R62-$R62/(1+Datos!$B$2)))</f>
        <v/>
      </c>
      <c r="T62" s="61" t="str">
        <f aca="false">IF($M62="","",-$M62/(1+$L62)*$L62)</f>
        <v/>
      </c>
      <c r="U62" s="61" t="str">
        <f aca="false">IF($M62="","",$C62*$D62)</f>
        <v/>
      </c>
      <c r="V62" s="61" t="str">
        <f aca="false">IF($M62="","",-N($N62))</f>
        <v/>
      </c>
      <c r="W62" s="61" t="str">
        <f aca="false">IF($M62="","",-($V62-$V62/(1+Datos!$B$2)))</f>
        <v/>
      </c>
      <c r="X62" s="61" t="str">
        <f aca="false">IF($M62="","",-$M62*Datos!$C$2)</f>
        <v/>
      </c>
      <c r="Y62" s="61" t="str">
        <f aca="false">IF($M62="","",IFERROR($M62+$U62+$T62+$P62+$Q62+$R62+$S62+$V62+$W62+$X62,"Error"))</f>
        <v/>
      </c>
      <c r="Z62" s="61" t="str">
        <f aca="false">IF($M62="","",IFERROR($Y62-$E62,"Error"))</f>
        <v/>
      </c>
      <c r="AA62" s="60" t="str">
        <f aca="false">IF($M62="","",IFERROR($Z62/($M62+$T62),"Error"))</f>
        <v/>
      </c>
      <c r="AB62" s="62" t="str">
        <f aca="false">IF($M62="","",IFERROR($M62/$E62,"Error"))</f>
        <v/>
      </c>
      <c r="AD62" s="59"/>
      <c r="AE62" s="57"/>
      <c r="AF62" s="58"/>
      <c r="AG62" s="60" t="str">
        <f aca="false">IF(N($AD62)=0,"",IFERROR(($AD62/(1+$L62)-($AD62*$O62+IF($AD62&lt;=15000,1000,IF($AD62&lt;=25000,2000,IF($AD62&lt;=33000,2400,0)))+N($N62))/(1+Datos!$B$2)-$AD62*Datos!$C$2-$C62)/($AD62/(1+$L62)),"Error"))</f>
        <v/>
      </c>
      <c r="AH62" s="61" t="str">
        <f aca="false">IF(N($AD62)=0,"",IFERROR($AD62/(1+$L62)*(1-$AF62)-($AD62*$O62+IF($AD62&lt;=15000,1000,IF($AD62&lt;=25000,2000,IF($AD62&lt;=33000,2400,0)))+N($N62))/(1+Datos!$B$2)-$AD62*Datos!$C$2,"Error"))</f>
        <v/>
      </c>
      <c r="AI62" s="61" t="str">
        <f aca="false">IF($AH62="","",IFERROR($AH62*(1+$D62),"Error"))</f>
        <v/>
      </c>
      <c r="AJ62" s="60" t="str">
        <f aca="false">IF($AH62="","",IFERROR($C62/$AH62-1,"Error"))</f>
        <v/>
      </c>
      <c r="AK62" s="63" t="str">
        <f aca="false">IF($AH62="","",IFERROR(IF($C62&lt;=$AH62,"OK a ese precio","Bajar costo"),"Error"))</f>
        <v/>
      </c>
    </row>
    <row r="63" customFormat="false" ht="15" hidden="false" customHeight="false" outlineLevel="0" collapsed="false">
      <c r="E63" s="0" t="str">
        <f aca="false">IF($C63="","",$C63*(1+$D63))</f>
        <v/>
      </c>
      <c r="J63" s="57"/>
      <c r="K63" s="57"/>
      <c r="L63" s="58"/>
      <c r="M63" s="59"/>
      <c r="N63" s="59"/>
      <c r="O63" s="60" t="str">
        <f aca="false">IF($M63="","",IFERROR(IF($K63="Clásica",VLOOKUP("Argentina"&amp;$J63,Datos!$C:$D,2,0),VLOOKUP("Argentina"&amp;$J63,Datos!$C:$D,2,0)+VLOOKUP("Argentina"&amp;$K63,Datos!$H:$I,2,0)),"Error"))</f>
        <v/>
      </c>
      <c r="P63" s="61" t="str">
        <f aca="false">IF($M63="","",IFERROR(-$M63*$O63,"Error"))</f>
        <v/>
      </c>
      <c r="Q63" s="61" t="str">
        <f aca="false">IF($M63="","",IFERROR(-($P63-$P63/(1+Datos!$B$2)),"Error"))</f>
        <v/>
      </c>
      <c r="R63" s="61" t="str">
        <f aca="false">IF($M63="","",IF($M63&lt;=15000,-1000,IF($M63&lt;=25000,-2000,IF($M63&lt;=33000,-2400,0))))</f>
        <v/>
      </c>
      <c r="S63" s="61" t="str">
        <f aca="false">IF($M63="","",-($R63-$R63/(1+Datos!$B$2)))</f>
        <v/>
      </c>
      <c r="T63" s="61" t="str">
        <f aca="false">IF($M63="","",-$M63/(1+$L63)*$L63)</f>
        <v/>
      </c>
      <c r="U63" s="61" t="str">
        <f aca="false">IF($M63="","",$C63*$D63)</f>
        <v/>
      </c>
      <c r="V63" s="61" t="str">
        <f aca="false">IF($M63="","",-N($N63))</f>
        <v/>
      </c>
      <c r="W63" s="61" t="str">
        <f aca="false">IF($M63="","",-($V63-$V63/(1+Datos!$B$2)))</f>
        <v/>
      </c>
      <c r="X63" s="61" t="str">
        <f aca="false">IF($M63="","",-$M63*Datos!$C$2)</f>
        <v/>
      </c>
      <c r="Y63" s="61" t="str">
        <f aca="false">IF($M63="","",IFERROR($M63+$U63+$T63+$P63+$Q63+$R63+$S63+$V63+$W63+$X63,"Error"))</f>
        <v/>
      </c>
      <c r="Z63" s="61" t="str">
        <f aca="false">IF($M63="","",IFERROR($Y63-$E63,"Error"))</f>
        <v/>
      </c>
      <c r="AA63" s="60" t="str">
        <f aca="false">IF($M63="","",IFERROR($Z63/($M63+$T63),"Error"))</f>
        <v/>
      </c>
      <c r="AB63" s="62" t="str">
        <f aca="false">IF($M63="","",IFERROR($M63/$E63,"Error"))</f>
        <v/>
      </c>
      <c r="AD63" s="59"/>
      <c r="AE63" s="57"/>
      <c r="AF63" s="58"/>
      <c r="AG63" s="60" t="str">
        <f aca="false">IF(N($AD63)=0,"",IFERROR(($AD63/(1+$L63)-($AD63*$O63+IF($AD63&lt;=15000,1000,IF($AD63&lt;=25000,2000,IF($AD63&lt;=33000,2400,0)))+N($N63))/(1+Datos!$B$2)-$AD63*Datos!$C$2-$C63)/($AD63/(1+$L63)),"Error"))</f>
        <v/>
      </c>
      <c r="AH63" s="61" t="str">
        <f aca="false">IF(N($AD63)=0,"",IFERROR($AD63/(1+$L63)*(1-$AF63)-($AD63*$O63+IF($AD63&lt;=15000,1000,IF($AD63&lt;=25000,2000,IF($AD63&lt;=33000,2400,0)))+N($N63))/(1+Datos!$B$2)-$AD63*Datos!$C$2,"Error"))</f>
        <v/>
      </c>
      <c r="AI63" s="61" t="str">
        <f aca="false">IF($AH63="","",IFERROR($AH63*(1+$D63),"Error"))</f>
        <v/>
      </c>
      <c r="AJ63" s="60" t="str">
        <f aca="false">IF($AH63="","",IFERROR($C63/$AH63-1,"Error"))</f>
        <v/>
      </c>
      <c r="AK63" s="63" t="str">
        <f aca="false">IF($AH63="","",IFERROR(IF($C63&lt;=$AH63,"OK a ese precio","Bajar costo"),"Error"))</f>
        <v/>
      </c>
    </row>
    <row r="64" customFormat="false" ht="15" hidden="false" customHeight="false" outlineLevel="0" collapsed="false">
      <c r="E64" s="0" t="str">
        <f aca="false">IF($C64="","",$C64*(1+$D64))</f>
        <v/>
      </c>
      <c r="J64" s="57"/>
      <c r="K64" s="57"/>
      <c r="L64" s="58"/>
      <c r="M64" s="59"/>
      <c r="N64" s="59"/>
      <c r="O64" s="60" t="str">
        <f aca="false">IF($M64="","",IFERROR(IF($K64="Clásica",VLOOKUP("Argentina"&amp;$J64,Datos!$C:$D,2,0),VLOOKUP("Argentina"&amp;$J64,Datos!$C:$D,2,0)+VLOOKUP("Argentina"&amp;$K64,Datos!$H:$I,2,0)),"Error"))</f>
        <v/>
      </c>
      <c r="P64" s="61" t="str">
        <f aca="false">IF($M64="","",IFERROR(-$M64*$O64,"Error"))</f>
        <v/>
      </c>
      <c r="Q64" s="61" t="str">
        <f aca="false">IF($M64="","",IFERROR(-($P64-$P64/(1+Datos!$B$2)),"Error"))</f>
        <v/>
      </c>
      <c r="R64" s="61" t="str">
        <f aca="false">IF($M64="","",IF($M64&lt;=15000,-1000,IF($M64&lt;=25000,-2000,IF($M64&lt;=33000,-2400,0))))</f>
        <v/>
      </c>
      <c r="S64" s="61" t="str">
        <f aca="false">IF($M64="","",-($R64-$R64/(1+Datos!$B$2)))</f>
        <v/>
      </c>
      <c r="T64" s="61" t="str">
        <f aca="false">IF($M64="","",-$M64/(1+$L64)*$L64)</f>
        <v/>
      </c>
      <c r="U64" s="61" t="str">
        <f aca="false">IF($M64="","",$C64*$D64)</f>
        <v/>
      </c>
      <c r="V64" s="61" t="str">
        <f aca="false">IF($M64="","",-N($N64))</f>
        <v/>
      </c>
      <c r="W64" s="61" t="str">
        <f aca="false">IF($M64="","",-($V64-$V64/(1+Datos!$B$2)))</f>
        <v/>
      </c>
      <c r="X64" s="61" t="str">
        <f aca="false">IF($M64="","",-$M64*Datos!$C$2)</f>
        <v/>
      </c>
      <c r="Y64" s="61" t="str">
        <f aca="false">IF($M64="","",IFERROR($M64+$U64+$T64+$P64+$Q64+$R64+$S64+$V64+$W64+$X64,"Error"))</f>
        <v/>
      </c>
      <c r="Z64" s="61" t="str">
        <f aca="false">IF($M64="","",IFERROR($Y64-$E64,"Error"))</f>
        <v/>
      </c>
      <c r="AA64" s="60" t="str">
        <f aca="false">IF($M64="","",IFERROR($Z64/($M64+$T64),"Error"))</f>
        <v/>
      </c>
      <c r="AB64" s="62" t="str">
        <f aca="false">IF($M64="","",IFERROR($M64/$E64,"Error"))</f>
        <v/>
      </c>
      <c r="AD64" s="59"/>
      <c r="AE64" s="57"/>
      <c r="AF64" s="58"/>
      <c r="AG64" s="60" t="str">
        <f aca="false">IF(N($AD64)=0,"",IFERROR(($AD64/(1+$L64)-($AD64*$O64+IF($AD64&lt;=15000,1000,IF($AD64&lt;=25000,2000,IF($AD64&lt;=33000,2400,0)))+N($N64))/(1+Datos!$B$2)-$AD64*Datos!$C$2-$C64)/($AD64/(1+$L64)),"Error"))</f>
        <v/>
      </c>
      <c r="AH64" s="61" t="str">
        <f aca="false">IF(N($AD64)=0,"",IFERROR($AD64/(1+$L64)*(1-$AF64)-($AD64*$O64+IF($AD64&lt;=15000,1000,IF($AD64&lt;=25000,2000,IF($AD64&lt;=33000,2400,0)))+N($N64))/(1+Datos!$B$2)-$AD64*Datos!$C$2,"Error"))</f>
        <v/>
      </c>
      <c r="AI64" s="61" t="str">
        <f aca="false">IF($AH64="","",IFERROR($AH64*(1+$D64),"Error"))</f>
        <v/>
      </c>
      <c r="AJ64" s="60" t="str">
        <f aca="false">IF($AH64="","",IFERROR($C64/$AH64-1,"Error"))</f>
        <v/>
      </c>
      <c r="AK64" s="63" t="str">
        <f aca="false">IF($AH64="","",IFERROR(IF($C64&lt;=$AH64,"OK a ese precio","Bajar costo"),"Error"))</f>
        <v/>
      </c>
    </row>
    <row r="65" customFormat="false" ht="15" hidden="false" customHeight="false" outlineLevel="0" collapsed="false">
      <c r="E65" s="0" t="str">
        <f aca="false">IF($C65="","",$C65*(1+$D65))</f>
        <v/>
      </c>
      <c r="J65" s="57"/>
      <c r="K65" s="57"/>
      <c r="L65" s="58"/>
      <c r="M65" s="59"/>
      <c r="N65" s="59"/>
      <c r="O65" s="60" t="str">
        <f aca="false">IF($M65="","",IFERROR(IF($K65="Clásica",VLOOKUP("Argentina"&amp;$J65,Datos!$C:$D,2,0),VLOOKUP("Argentina"&amp;$J65,Datos!$C:$D,2,0)+VLOOKUP("Argentina"&amp;$K65,Datos!$H:$I,2,0)),"Error"))</f>
        <v/>
      </c>
      <c r="P65" s="61" t="str">
        <f aca="false">IF($M65="","",IFERROR(-$M65*$O65,"Error"))</f>
        <v/>
      </c>
      <c r="Q65" s="61" t="str">
        <f aca="false">IF($M65="","",IFERROR(-($P65-$P65/(1+Datos!$B$2)),"Error"))</f>
        <v/>
      </c>
      <c r="R65" s="61" t="str">
        <f aca="false">IF($M65="","",IF($M65&lt;=15000,-1000,IF($M65&lt;=25000,-2000,IF($M65&lt;=33000,-2400,0))))</f>
        <v/>
      </c>
      <c r="S65" s="61" t="str">
        <f aca="false">IF($M65="","",-($R65-$R65/(1+Datos!$B$2)))</f>
        <v/>
      </c>
      <c r="T65" s="61" t="str">
        <f aca="false">IF($M65="","",-$M65/(1+$L65)*$L65)</f>
        <v/>
      </c>
      <c r="U65" s="61" t="str">
        <f aca="false">IF($M65="","",$C65*$D65)</f>
        <v/>
      </c>
      <c r="V65" s="61" t="str">
        <f aca="false">IF($M65="","",-N($N65))</f>
        <v/>
      </c>
      <c r="W65" s="61" t="str">
        <f aca="false">IF($M65="","",-($V65-$V65/(1+Datos!$B$2)))</f>
        <v/>
      </c>
      <c r="X65" s="61" t="str">
        <f aca="false">IF($M65="","",-$M65*Datos!$C$2)</f>
        <v/>
      </c>
      <c r="Y65" s="61" t="str">
        <f aca="false">IF($M65="","",IFERROR($M65+$U65+$T65+$P65+$Q65+$R65+$S65+$V65+$W65+$X65,"Error"))</f>
        <v/>
      </c>
      <c r="Z65" s="61" t="str">
        <f aca="false">IF($M65="","",IFERROR($Y65-$E65,"Error"))</f>
        <v/>
      </c>
      <c r="AA65" s="60" t="str">
        <f aca="false">IF($M65="","",IFERROR($Z65/($M65+$T65),"Error"))</f>
        <v/>
      </c>
      <c r="AB65" s="62" t="str">
        <f aca="false">IF($M65="","",IFERROR($M65/$E65,"Error"))</f>
        <v/>
      </c>
      <c r="AD65" s="59"/>
      <c r="AE65" s="57"/>
      <c r="AF65" s="58"/>
      <c r="AG65" s="60" t="str">
        <f aca="false">IF(N($AD65)=0,"",IFERROR(($AD65/(1+$L65)-($AD65*$O65+IF($AD65&lt;=15000,1000,IF($AD65&lt;=25000,2000,IF($AD65&lt;=33000,2400,0)))+N($N65))/(1+Datos!$B$2)-$AD65*Datos!$C$2-$C65)/($AD65/(1+$L65)),"Error"))</f>
        <v/>
      </c>
      <c r="AH65" s="61" t="str">
        <f aca="false">IF(N($AD65)=0,"",IFERROR($AD65/(1+$L65)*(1-$AF65)-($AD65*$O65+IF($AD65&lt;=15000,1000,IF($AD65&lt;=25000,2000,IF($AD65&lt;=33000,2400,0)))+N($N65))/(1+Datos!$B$2)-$AD65*Datos!$C$2,"Error"))</f>
        <v/>
      </c>
      <c r="AI65" s="61" t="str">
        <f aca="false">IF($AH65="","",IFERROR($AH65*(1+$D65),"Error"))</f>
        <v/>
      </c>
      <c r="AJ65" s="60" t="str">
        <f aca="false">IF($AH65="","",IFERROR($C65/$AH65-1,"Error"))</f>
        <v/>
      </c>
      <c r="AK65" s="63" t="str">
        <f aca="false">IF($AH65="","",IFERROR(IF($C65&lt;=$AH65,"OK a ese precio","Bajar costo"),"Error"))</f>
        <v/>
      </c>
    </row>
    <row r="66" customFormat="false" ht="15" hidden="false" customHeight="false" outlineLevel="0" collapsed="false">
      <c r="E66" s="0" t="str">
        <f aca="false">IF($C66="","",$C66*(1+$D66))</f>
        <v/>
      </c>
      <c r="J66" s="57"/>
      <c r="K66" s="57"/>
      <c r="L66" s="58"/>
      <c r="M66" s="59"/>
      <c r="N66" s="59"/>
      <c r="O66" s="60" t="str">
        <f aca="false">IF($M66="","",IFERROR(IF($K66="Clásica",VLOOKUP("Argentina"&amp;$J66,Datos!$C:$D,2,0),VLOOKUP("Argentina"&amp;$J66,Datos!$C:$D,2,0)+VLOOKUP("Argentina"&amp;$K66,Datos!$H:$I,2,0)),"Error"))</f>
        <v/>
      </c>
      <c r="P66" s="61" t="str">
        <f aca="false">IF($M66="","",IFERROR(-$M66*$O66,"Error"))</f>
        <v/>
      </c>
      <c r="Q66" s="61" t="str">
        <f aca="false">IF($M66="","",IFERROR(-($P66-$P66/(1+Datos!$B$2)),"Error"))</f>
        <v/>
      </c>
      <c r="R66" s="61" t="str">
        <f aca="false">IF($M66="","",IF($M66&lt;=15000,-1000,IF($M66&lt;=25000,-2000,IF($M66&lt;=33000,-2400,0))))</f>
        <v/>
      </c>
      <c r="S66" s="61" t="str">
        <f aca="false">IF($M66="","",-($R66-$R66/(1+Datos!$B$2)))</f>
        <v/>
      </c>
      <c r="T66" s="61" t="str">
        <f aca="false">IF($M66="","",-$M66/(1+$L66)*$L66)</f>
        <v/>
      </c>
      <c r="U66" s="61" t="str">
        <f aca="false">IF($M66="","",$C66*$D66)</f>
        <v/>
      </c>
      <c r="V66" s="61" t="str">
        <f aca="false">IF($M66="","",-N($N66))</f>
        <v/>
      </c>
      <c r="W66" s="61" t="str">
        <f aca="false">IF($M66="","",-($V66-$V66/(1+Datos!$B$2)))</f>
        <v/>
      </c>
      <c r="X66" s="61" t="str">
        <f aca="false">IF($M66="","",-$M66*Datos!$C$2)</f>
        <v/>
      </c>
      <c r="Y66" s="61" t="str">
        <f aca="false">IF($M66="","",IFERROR($M66+$U66+$T66+$P66+$Q66+$R66+$S66+$V66+$W66+$X66,"Error"))</f>
        <v/>
      </c>
      <c r="Z66" s="61" t="str">
        <f aca="false">IF($M66="","",IFERROR($Y66-$E66,"Error"))</f>
        <v/>
      </c>
      <c r="AA66" s="60" t="str">
        <f aca="false">IF($M66="","",IFERROR($Z66/($M66+$T66),"Error"))</f>
        <v/>
      </c>
      <c r="AB66" s="62" t="str">
        <f aca="false">IF($M66="","",IFERROR($M66/$E66,"Error"))</f>
        <v/>
      </c>
      <c r="AD66" s="59"/>
      <c r="AE66" s="57"/>
      <c r="AF66" s="58"/>
      <c r="AG66" s="60" t="str">
        <f aca="false">IF(N($AD66)=0,"",IFERROR(($AD66/(1+$L66)-($AD66*$O66+IF($AD66&lt;=15000,1000,IF($AD66&lt;=25000,2000,IF($AD66&lt;=33000,2400,0)))+N($N66))/(1+Datos!$B$2)-$AD66*Datos!$C$2-$C66)/($AD66/(1+$L66)),"Error"))</f>
        <v/>
      </c>
      <c r="AH66" s="61" t="str">
        <f aca="false">IF(N($AD66)=0,"",IFERROR($AD66/(1+$L66)*(1-$AF66)-($AD66*$O66+IF($AD66&lt;=15000,1000,IF($AD66&lt;=25000,2000,IF($AD66&lt;=33000,2400,0)))+N($N66))/(1+Datos!$B$2)-$AD66*Datos!$C$2,"Error"))</f>
        <v/>
      </c>
      <c r="AI66" s="61" t="str">
        <f aca="false">IF($AH66="","",IFERROR($AH66*(1+$D66),"Error"))</f>
        <v/>
      </c>
      <c r="AJ66" s="60" t="str">
        <f aca="false">IF($AH66="","",IFERROR($C66/$AH66-1,"Error"))</f>
        <v/>
      </c>
      <c r="AK66" s="63" t="str">
        <f aca="false">IF($AH66="","",IFERROR(IF($C66&lt;=$AH66,"OK a ese precio","Bajar costo"),"Error"))</f>
        <v/>
      </c>
    </row>
    <row r="67" customFormat="false" ht="15" hidden="false" customHeight="false" outlineLevel="0" collapsed="false">
      <c r="E67" s="0" t="str">
        <f aca="false">IF($C67="","",$C67*(1+$D67))</f>
        <v/>
      </c>
      <c r="J67" s="57"/>
      <c r="K67" s="57"/>
      <c r="L67" s="58"/>
      <c r="M67" s="59"/>
      <c r="N67" s="59"/>
      <c r="O67" s="60" t="str">
        <f aca="false">IF($M67="","",IFERROR(IF($K67="Clásica",VLOOKUP("Argentina"&amp;$J67,Datos!$C:$D,2,0),VLOOKUP("Argentina"&amp;$J67,Datos!$C:$D,2,0)+VLOOKUP("Argentina"&amp;$K67,Datos!$H:$I,2,0)),"Error"))</f>
        <v/>
      </c>
      <c r="P67" s="61" t="str">
        <f aca="false">IF($M67="","",IFERROR(-$M67*$O67,"Error"))</f>
        <v/>
      </c>
      <c r="Q67" s="61" t="str">
        <f aca="false">IF($M67="","",IFERROR(-($P67-$P67/(1+Datos!$B$2)),"Error"))</f>
        <v/>
      </c>
      <c r="R67" s="61" t="str">
        <f aca="false">IF($M67="","",IF($M67&lt;=15000,-1000,IF($M67&lt;=25000,-2000,IF($M67&lt;=33000,-2400,0))))</f>
        <v/>
      </c>
      <c r="S67" s="61" t="str">
        <f aca="false">IF($M67="","",-($R67-$R67/(1+Datos!$B$2)))</f>
        <v/>
      </c>
      <c r="T67" s="61" t="str">
        <f aca="false">IF($M67="","",-$M67/(1+$L67)*$L67)</f>
        <v/>
      </c>
      <c r="U67" s="61" t="str">
        <f aca="false">IF($M67="","",$C67*$D67)</f>
        <v/>
      </c>
      <c r="V67" s="61" t="str">
        <f aca="false">IF($M67="","",-N($N67))</f>
        <v/>
      </c>
      <c r="W67" s="61" t="str">
        <f aca="false">IF($M67="","",-($V67-$V67/(1+Datos!$B$2)))</f>
        <v/>
      </c>
      <c r="X67" s="61" t="str">
        <f aca="false">IF($M67="","",-$M67*Datos!$C$2)</f>
        <v/>
      </c>
      <c r="Y67" s="61" t="str">
        <f aca="false">IF($M67="","",IFERROR($M67+$U67+$T67+$P67+$Q67+$R67+$S67+$V67+$W67+$X67,"Error"))</f>
        <v/>
      </c>
      <c r="Z67" s="61" t="str">
        <f aca="false">IF($M67="","",IFERROR($Y67-$E67,"Error"))</f>
        <v/>
      </c>
      <c r="AA67" s="60" t="str">
        <f aca="false">IF($M67="","",IFERROR($Z67/($M67+$T67),"Error"))</f>
        <v/>
      </c>
      <c r="AB67" s="62" t="str">
        <f aca="false">IF($M67="","",IFERROR($M67/$E67,"Error"))</f>
        <v/>
      </c>
      <c r="AD67" s="59"/>
      <c r="AE67" s="57"/>
      <c r="AF67" s="58"/>
      <c r="AG67" s="60" t="str">
        <f aca="false">IF(N($AD67)=0,"",IFERROR(($AD67/(1+$L67)-($AD67*$O67+IF($AD67&lt;=15000,1000,IF($AD67&lt;=25000,2000,IF($AD67&lt;=33000,2400,0)))+N($N67))/(1+Datos!$B$2)-$AD67*Datos!$C$2-$C67)/($AD67/(1+$L67)),"Error"))</f>
        <v/>
      </c>
      <c r="AH67" s="61" t="str">
        <f aca="false">IF(N($AD67)=0,"",IFERROR($AD67/(1+$L67)*(1-$AF67)-($AD67*$O67+IF($AD67&lt;=15000,1000,IF($AD67&lt;=25000,2000,IF($AD67&lt;=33000,2400,0)))+N($N67))/(1+Datos!$B$2)-$AD67*Datos!$C$2,"Error"))</f>
        <v/>
      </c>
      <c r="AI67" s="61" t="str">
        <f aca="false">IF($AH67="","",IFERROR($AH67*(1+$D67),"Error"))</f>
        <v/>
      </c>
      <c r="AJ67" s="60" t="str">
        <f aca="false">IF($AH67="","",IFERROR($C67/$AH67-1,"Error"))</f>
        <v/>
      </c>
      <c r="AK67" s="63" t="str">
        <f aca="false">IF($AH67="","",IFERROR(IF($C67&lt;=$AH67,"OK a ese precio","Bajar costo"),"Error"))</f>
        <v/>
      </c>
    </row>
    <row r="68" customFormat="false" ht="15" hidden="false" customHeight="false" outlineLevel="0" collapsed="false">
      <c r="E68" s="0" t="str">
        <f aca="false">IF($C68="","",$C68*(1+$D68))</f>
        <v/>
      </c>
      <c r="J68" s="57"/>
      <c r="K68" s="57"/>
      <c r="L68" s="58"/>
      <c r="M68" s="59"/>
      <c r="N68" s="59"/>
      <c r="O68" s="60" t="str">
        <f aca="false">IF($M68="","",IFERROR(IF($K68="Clásica",VLOOKUP("Argentina"&amp;$J68,Datos!$C:$D,2,0),VLOOKUP("Argentina"&amp;$J68,Datos!$C:$D,2,0)+VLOOKUP("Argentina"&amp;$K68,Datos!$H:$I,2,0)),"Error"))</f>
        <v/>
      </c>
      <c r="P68" s="61" t="str">
        <f aca="false">IF($M68="","",IFERROR(-$M68*$O68,"Error"))</f>
        <v/>
      </c>
      <c r="Q68" s="61" t="str">
        <f aca="false">IF($M68="","",IFERROR(-($P68-$P68/(1+Datos!$B$2)),"Error"))</f>
        <v/>
      </c>
      <c r="R68" s="61" t="str">
        <f aca="false">IF($M68="","",IF($M68&lt;=15000,-1000,IF($M68&lt;=25000,-2000,IF($M68&lt;=33000,-2400,0))))</f>
        <v/>
      </c>
      <c r="S68" s="61" t="str">
        <f aca="false">IF($M68="","",-($R68-$R68/(1+Datos!$B$2)))</f>
        <v/>
      </c>
      <c r="T68" s="61" t="str">
        <f aca="false">IF($M68="","",-$M68/(1+$L68)*$L68)</f>
        <v/>
      </c>
      <c r="U68" s="61" t="str">
        <f aca="false">IF($M68="","",$C68*$D68)</f>
        <v/>
      </c>
      <c r="V68" s="61" t="str">
        <f aca="false">IF($M68="","",-N($N68))</f>
        <v/>
      </c>
      <c r="W68" s="61" t="str">
        <f aca="false">IF($M68="","",-($V68-$V68/(1+Datos!$B$2)))</f>
        <v/>
      </c>
      <c r="X68" s="61" t="str">
        <f aca="false">IF($M68="","",-$M68*Datos!$C$2)</f>
        <v/>
      </c>
      <c r="Y68" s="61" t="str">
        <f aca="false">IF($M68="","",IFERROR($M68+$U68+$T68+$P68+$Q68+$R68+$S68+$V68+$W68+$X68,"Error"))</f>
        <v/>
      </c>
      <c r="Z68" s="61" t="str">
        <f aca="false">IF($M68="","",IFERROR($Y68-$E68,"Error"))</f>
        <v/>
      </c>
      <c r="AA68" s="60" t="str">
        <f aca="false">IF($M68="","",IFERROR($Z68/($M68+$T68),"Error"))</f>
        <v/>
      </c>
      <c r="AB68" s="62" t="str">
        <f aca="false">IF($M68="","",IFERROR($M68/$E68,"Error"))</f>
        <v/>
      </c>
      <c r="AD68" s="59"/>
      <c r="AE68" s="57"/>
      <c r="AF68" s="58"/>
      <c r="AG68" s="60" t="str">
        <f aca="false">IF(N($AD68)=0,"",IFERROR(($AD68/(1+$L68)-($AD68*$O68+IF($AD68&lt;=15000,1000,IF($AD68&lt;=25000,2000,IF($AD68&lt;=33000,2400,0)))+N($N68))/(1+Datos!$B$2)-$AD68*Datos!$C$2-$C68)/($AD68/(1+$L68)),"Error"))</f>
        <v/>
      </c>
      <c r="AH68" s="61" t="str">
        <f aca="false">IF(N($AD68)=0,"",IFERROR($AD68/(1+$L68)*(1-$AF68)-($AD68*$O68+IF($AD68&lt;=15000,1000,IF($AD68&lt;=25000,2000,IF($AD68&lt;=33000,2400,0)))+N($N68))/(1+Datos!$B$2)-$AD68*Datos!$C$2,"Error"))</f>
        <v/>
      </c>
      <c r="AI68" s="61" t="str">
        <f aca="false">IF($AH68="","",IFERROR($AH68*(1+$D68),"Error"))</f>
        <v/>
      </c>
      <c r="AJ68" s="60" t="str">
        <f aca="false">IF($AH68="","",IFERROR($C68/$AH68-1,"Error"))</f>
        <v/>
      </c>
      <c r="AK68" s="63" t="str">
        <f aca="false">IF($AH68="","",IFERROR(IF($C68&lt;=$AH68,"OK a ese precio","Bajar costo"),"Error"))</f>
        <v/>
      </c>
    </row>
    <row r="69" customFormat="false" ht="15" hidden="false" customHeight="false" outlineLevel="0" collapsed="false">
      <c r="E69" s="0" t="str">
        <f aca="false">IF($C69="","",$C69*(1+$D69))</f>
        <v/>
      </c>
      <c r="J69" s="57"/>
      <c r="K69" s="57"/>
      <c r="L69" s="58"/>
      <c r="M69" s="59"/>
      <c r="N69" s="59"/>
      <c r="O69" s="60" t="str">
        <f aca="false">IF($M69="","",IFERROR(IF($K69="Clásica",VLOOKUP("Argentina"&amp;$J69,Datos!$C:$D,2,0),VLOOKUP("Argentina"&amp;$J69,Datos!$C:$D,2,0)+VLOOKUP("Argentina"&amp;$K69,Datos!$H:$I,2,0)),"Error"))</f>
        <v/>
      </c>
      <c r="P69" s="61" t="str">
        <f aca="false">IF($M69="","",IFERROR(-$M69*$O69,"Error"))</f>
        <v/>
      </c>
      <c r="Q69" s="61" t="str">
        <f aca="false">IF($M69="","",IFERROR(-($P69-$P69/(1+Datos!$B$2)),"Error"))</f>
        <v/>
      </c>
      <c r="R69" s="61" t="str">
        <f aca="false">IF($M69="","",IF($M69&lt;=15000,-1000,IF($M69&lt;=25000,-2000,IF($M69&lt;=33000,-2400,0))))</f>
        <v/>
      </c>
      <c r="S69" s="61" t="str">
        <f aca="false">IF($M69="","",-($R69-$R69/(1+Datos!$B$2)))</f>
        <v/>
      </c>
      <c r="T69" s="61" t="str">
        <f aca="false">IF($M69="","",-$M69/(1+$L69)*$L69)</f>
        <v/>
      </c>
      <c r="U69" s="61" t="str">
        <f aca="false">IF($M69="","",$C69*$D69)</f>
        <v/>
      </c>
      <c r="V69" s="61" t="str">
        <f aca="false">IF($M69="","",-N($N69))</f>
        <v/>
      </c>
      <c r="W69" s="61" t="str">
        <f aca="false">IF($M69="","",-($V69-$V69/(1+Datos!$B$2)))</f>
        <v/>
      </c>
      <c r="X69" s="61" t="str">
        <f aca="false">IF($M69="","",-$M69*Datos!$C$2)</f>
        <v/>
      </c>
      <c r="Y69" s="61" t="str">
        <f aca="false">IF($M69="","",IFERROR($M69+$U69+$T69+$P69+$Q69+$R69+$S69+$V69+$W69+$X69,"Error"))</f>
        <v/>
      </c>
      <c r="Z69" s="61" t="str">
        <f aca="false">IF($M69="","",IFERROR($Y69-$E69,"Error"))</f>
        <v/>
      </c>
      <c r="AA69" s="60" t="str">
        <f aca="false">IF($M69="","",IFERROR($Z69/($M69+$T69),"Error"))</f>
        <v/>
      </c>
      <c r="AB69" s="62" t="str">
        <f aca="false">IF($M69="","",IFERROR($M69/$E69,"Error"))</f>
        <v/>
      </c>
      <c r="AD69" s="59"/>
      <c r="AE69" s="57"/>
      <c r="AF69" s="58"/>
      <c r="AG69" s="60" t="str">
        <f aca="false">IF(N($AD69)=0,"",IFERROR(($AD69/(1+$L69)-($AD69*$O69+IF($AD69&lt;=15000,1000,IF($AD69&lt;=25000,2000,IF($AD69&lt;=33000,2400,0)))+N($N69))/(1+Datos!$B$2)-$AD69*Datos!$C$2-$C69)/($AD69/(1+$L69)),"Error"))</f>
        <v/>
      </c>
      <c r="AH69" s="61" t="str">
        <f aca="false">IF(N($AD69)=0,"",IFERROR($AD69/(1+$L69)*(1-$AF69)-($AD69*$O69+IF($AD69&lt;=15000,1000,IF($AD69&lt;=25000,2000,IF($AD69&lt;=33000,2400,0)))+N($N69))/(1+Datos!$B$2)-$AD69*Datos!$C$2,"Error"))</f>
        <v/>
      </c>
      <c r="AI69" s="61" t="str">
        <f aca="false">IF($AH69="","",IFERROR($AH69*(1+$D69),"Error"))</f>
        <v/>
      </c>
      <c r="AJ69" s="60" t="str">
        <f aca="false">IF($AH69="","",IFERROR($C69/$AH69-1,"Error"))</f>
        <v/>
      </c>
      <c r="AK69" s="63" t="str">
        <f aca="false">IF($AH69="","",IFERROR(IF($C69&lt;=$AH69,"OK a ese precio","Bajar costo"),"Error"))</f>
        <v/>
      </c>
    </row>
    <row r="70" customFormat="false" ht="15" hidden="false" customHeight="false" outlineLevel="0" collapsed="false">
      <c r="E70" s="0" t="str">
        <f aca="false">IF($C70="","",$C70*(1+$D70))</f>
        <v/>
      </c>
      <c r="J70" s="57"/>
      <c r="K70" s="57"/>
      <c r="L70" s="58"/>
      <c r="M70" s="59"/>
      <c r="N70" s="59"/>
      <c r="O70" s="60" t="str">
        <f aca="false">IF($M70="","",IFERROR(IF($K70="Clásica",VLOOKUP("Argentina"&amp;$J70,Datos!$C:$D,2,0),VLOOKUP("Argentina"&amp;$J70,Datos!$C:$D,2,0)+VLOOKUP("Argentina"&amp;$K70,Datos!$H:$I,2,0)),"Error"))</f>
        <v/>
      </c>
      <c r="P70" s="61" t="str">
        <f aca="false">IF($M70="","",IFERROR(-$M70*$O70,"Error"))</f>
        <v/>
      </c>
      <c r="Q70" s="61" t="str">
        <f aca="false">IF($M70="","",IFERROR(-($P70-$P70/(1+Datos!$B$2)),"Error"))</f>
        <v/>
      </c>
      <c r="R70" s="61" t="str">
        <f aca="false">IF($M70="","",IF($M70&lt;=15000,-1000,IF($M70&lt;=25000,-2000,IF($M70&lt;=33000,-2400,0))))</f>
        <v/>
      </c>
      <c r="S70" s="61" t="str">
        <f aca="false">IF($M70="","",-($R70-$R70/(1+Datos!$B$2)))</f>
        <v/>
      </c>
      <c r="T70" s="61" t="str">
        <f aca="false">IF($M70="","",-$M70/(1+$L70)*$L70)</f>
        <v/>
      </c>
      <c r="U70" s="61" t="str">
        <f aca="false">IF($M70="","",$C70*$D70)</f>
        <v/>
      </c>
      <c r="V70" s="61" t="str">
        <f aca="false">IF($M70="","",-N($N70))</f>
        <v/>
      </c>
      <c r="W70" s="61" t="str">
        <f aca="false">IF($M70="","",-($V70-$V70/(1+Datos!$B$2)))</f>
        <v/>
      </c>
      <c r="X70" s="61" t="str">
        <f aca="false">IF($M70="","",-$M70*Datos!$C$2)</f>
        <v/>
      </c>
      <c r="Y70" s="61" t="str">
        <f aca="false">IF($M70="","",IFERROR($M70+$U70+$T70+$P70+$Q70+$R70+$S70+$V70+$W70+$X70,"Error"))</f>
        <v/>
      </c>
      <c r="Z70" s="61" t="str">
        <f aca="false">IF($M70="","",IFERROR($Y70-$E70,"Error"))</f>
        <v/>
      </c>
      <c r="AA70" s="60" t="str">
        <f aca="false">IF($M70="","",IFERROR($Z70/($M70+$T70),"Error"))</f>
        <v/>
      </c>
      <c r="AB70" s="62" t="str">
        <f aca="false">IF($M70="","",IFERROR($M70/$E70,"Error"))</f>
        <v/>
      </c>
      <c r="AD70" s="59"/>
      <c r="AE70" s="57"/>
      <c r="AF70" s="58"/>
      <c r="AG70" s="60" t="str">
        <f aca="false">IF(N($AD70)=0,"",IFERROR(($AD70/(1+$L70)-($AD70*$O70+IF($AD70&lt;=15000,1000,IF($AD70&lt;=25000,2000,IF($AD70&lt;=33000,2400,0)))+N($N70))/(1+Datos!$B$2)-$AD70*Datos!$C$2-$C70)/($AD70/(1+$L70)),"Error"))</f>
        <v/>
      </c>
      <c r="AH70" s="61" t="str">
        <f aca="false">IF(N($AD70)=0,"",IFERROR($AD70/(1+$L70)*(1-$AF70)-($AD70*$O70+IF($AD70&lt;=15000,1000,IF($AD70&lt;=25000,2000,IF($AD70&lt;=33000,2400,0)))+N($N70))/(1+Datos!$B$2)-$AD70*Datos!$C$2,"Error"))</f>
        <v/>
      </c>
      <c r="AI70" s="61" t="str">
        <f aca="false">IF($AH70="","",IFERROR($AH70*(1+$D70),"Error"))</f>
        <v/>
      </c>
      <c r="AJ70" s="60" t="str">
        <f aca="false">IF($AH70="","",IFERROR($C70/$AH70-1,"Error"))</f>
        <v/>
      </c>
      <c r="AK70" s="63" t="str">
        <f aca="false">IF($AH70="","",IFERROR(IF($C70&lt;=$AH70,"OK a ese precio","Bajar costo"),"Error"))</f>
        <v/>
      </c>
    </row>
    <row r="71" customFormat="false" ht="15" hidden="false" customHeight="false" outlineLevel="0" collapsed="false">
      <c r="E71" s="0" t="str">
        <f aca="false">IF($C71="","",$C71*(1+$D71))</f>
        <v/>
      </c>
      <c r="J71" s="57"/>
      <c r="K71" s="57"/>
      <c r="L71" s="58"/>
      <c r="M71" s="59"/>
      <c r="N71" s="59"/>
      <c r="O71" s="60" t="str">
        <f aca="false">IF($M71="","",IFERROR(IF($K71="Clásica",VLOOKUP("Argentina"&amp;$J71,Datos!$C:$D,2,0),VLOOKUP("Argentina"&amp;$J71,Datos!$C:$D,2,0)+VLOOKUP("Argentina"&amp;$K71,Datos!$H:$I,2,0)),"Error"))</f>
        <v/>
      </c>
      <c r="P71" s="61" t="str">
        <f aca="false">IF($M71="","",IFERROR(-$M71*$O71,"Error"))</f>
        <v/>
      </c>
      <c r="Q71" s="61" t="str">
        <f aca="false">IF($M71="","",IFERROR(-($P71-$P71/(1+Datos!$B$2)),"Error"))</f>
        <v/>
      </c>
      <c r="R71" s="61" t="str">
        <f aca="false">IF($M71="","",IF($M71&lt;=15000,-1000,IF($M71&lt;=25000,-2000,IF($M71&lt;=33000,-2400,0))))</f>
        <v/>
      </c>
      <c r="S71" s="61" t="str">
        <f aca="false">IF($M71="","",-($R71-$R71/(1+Datos!$B$2)))</f>
        <v/>
      </c>
      <c r="T71" s="61" t="str">
        <f aca="false">IF($M71="","",-$M71/(1+$L71)*$L71)</f>
        <v/>
      </c>
      <c r="U71" s="61" t="str">
        <f aca="false">IF($M71="","",$C71*$D71)</f>
        <v/>
      </c>
      <c r="V71" s="61" t="str">
        <f aca="false">IF($M71="","",-N($N71))</f>
        <v/>
      </c>
      <c r="W71" s="61" t="str">
        <f aca="false">IF($M71="","",-($V71-$V71/(1+Datos!$B$2)))</f>
        <v/>
      </c>
      <c r="X71" s="61" t="str">
        <f aca="false">IF($M71="","",-$M71*Datos!$C$2)</f>
        <v/>
      </c>
      <c r="Y71" s="61" t="str">
        <f aca="false">IF($M71="","",IFERROR($M71+$U71+$T71+$P71+$Q71+$R71+$S71+$V71+$W71+$X71,"Error"))</f>
        <v/>
      </c>
      <c r="Z71" s="61" t="str">
        <f aca="false">IF($M71="","",IFERROR($Y71-$E71,"Error"))</f>
        <v/>
      </c>
      <c r="AA71" s="60" t="str">
        <f aca="false">IF($M71="","",IFERROR($Z71/($M71+$T71),"Error"))</f>
        <v/>
      </c>
      <c r="AB71" s="62" t="str">
        <f aca="false">IF($M71="","",IFERROR($M71/$E71,"Error"))</f>
        <v/>
      </c>
      <c r="AD71" s="59"/>
      <c r="AE71" s="57"/>
      <c r="AF71" s="58"/>
      <c r="AG71" s="60" t="str">
        <f aca="false">IF(N($AD71)=0,"",IFERROR(($AD71/(1+$L71)-($AD71*$O71+IF($AD71&lt;=15000,1000,IF($AD71&lt;=25000,2000,IF($AD71&lt;=33000,2400,0)))+N($N71))/(1+Datos!$B$2)-$AD71*Datos!$C$2-$C71)/($AD71/(1+$L71)),"Error"))</f>
        <v/>
      </c>
      <c r="AH71" s="61" t="str">
        <f aca="false">IF(N($AD71)=0,"",IFERROR($AD71/(1+$L71)*(1-$AF71)-($AD71*$O71+IF($AD71&lt;=15000,1000,IF($AD71&lt;=25000,2000,IF($AD71&lt;=33000,2400,0)))+N($N71))/(1+Datos!$B$2)-$AD71*Datos!$C$2,"Error"))</f>
        <v/>
      </c>
      <c r="AI71" s="61" t="str">
        <f aca="false">IF($AH71="","",IFERROR($AH71*(1+$D71),"Error"))</f>
        <v/>
      </c>
      <c r="AJ71" s="60" t="str">
        <f aca="false">IF($AH71="","",IFERROR($C71/$AH71-1,"Error"))</f>
        <v/>
      </c>
      <c r="AK71" s="63" t="str">
        <f aca="false">IF($AH71="","",IFERROR(IF($C71&lt;=$AH71,"OK a ese precio","Bajar costo"),"Error"))</f>
        <v/>
      </c>
    </row>
    <row r="72" customFormat="false" ht="15" hidden="false" customHeight="false" outlineLevel="0" collapsed="false">
      <c r="E72" s="0" t="str">
        <f aca="false">IF($C72="","",$C72*(1+$D72))</f>
        <v/>
      </c>
      <c r="J72" s="57"/>
      <c r="K72" s="57"/>
      <c r="L72" s="58"/>
      <c r="M72" s="59"/>
      <c r="N72" s="59"/>
      <c r="O72" s="60" t="str">
        <f aca="false">IF($M72="","",IFERROR(IF($K72="Clásica",VLOOKUP("Argentina"&amp;$J72,Datos!$C:$D,2,0),VLOOKUP("Argentina"&amp;$J72,Datos!$C:$D,2,0)+VLOOKUP("Argentina"&amp;$K72,Datos!$H:$I,2,0)),"Error"))</f>
        <v/>
      </c>
      <c r="P72" s="61" t="str">
        <f aca="false">IF($M72="","",IFERROR(-$M72*$O72,"Error"))</f>
        <v/>
      </c>
      <c r="Q72" s="61" t="str">
        <f aca="false">IF($M72="","",IFERROR(-($P72-$P72/(1+Datos!$B$2)),"Error"))</f>
        <v/>
      </c>
      <c r="R72" s="61" t="str">
        <f aca="false">IF($M72="","",IF($M72&lt;=15000,-1000,IF($M72&lt;=25000,-2000,IF($M72&lt;=33000,-2400,0))))</f>
        <v/>
      </c>
      <c r="S72" s="61" t="str">
        <f aca="false">IF($M72="","",-($R72-$R72/(1+Datos!$B$2)))</f>
        <v/>
      </c>
      <c r="T72" s="61" t="str">
        <f aca="false">IF($M72="","",-$M72/(1+$L72)*$L72)</f>
        <v/>
      </c>
      <c r="U72" s="61" t="str">
        <f aca="false">IF($M72="","",$C72*$D72)</f>
        <v/>
      </c>
      <c r="V72" s="61" t="str">
        <f aca="false">IF($M72="","",-N($N72))</f>
        <v/>
      </c>
      <c r="W72" s="61" t="str">
        <f aca="false">IF($M72="","",-($V72-$V72/(1+Datos!$B$2)))</f>
        <v/>
      </c>
      <c r="X72" s="61" t="str">
        <f aca="false">IF($M72="","",-$M72*Datos!$C$2)</f>
        <v/>
      </c>
      <c r="Y72" s="61" t="str">
        <f aca="false">IF($M72="","",IFERROR($M72+$U72+$T72+$P72+$Q72+$R72+$S72+$V72+$W72+$X72,"Error"))</f>
        <v/>
      </c>
      <c r="Z72" s="61" t="str">
        <f aca="false">IF($M72="","",IFERROR($Y72-$E72,"Error"))</f>
        <v/>
      </c>
      <c r="AA72" s="60" t="str">
        <f aca="false">IF($M72="","",IFERROR($Z72/($M72+$T72),"Error"))</f>
        <v/>
      </c>
      <c r="AB72" s="62" t="str">
        <f aca="false">IF($M72="","",IFERROR($M72/$E72,"Error"))</f>
        <v/>
      </c>
      <c r="AD72" s="59"/>
      <c r="AE72" s="57"/>
      <c r="AF72" s="58"/>
      <c r="AG72" s="60" t="str">
        <f aca="false">IF(N($AD72)=0,"",IFERROR(($AD72/(1+$L72)-($AD72*$O72+IF($AD72&lt;=15000,1000,IF($AD72&lt;=25000,2000,IF($AD72&lt;=33000,2400,0)))+N($N72))/(1+Datos!$B$2)-$AD72*Datos!$C$2-$C72)/($AD72/(1+$L72)),"Error"))</f>
        <v/>
      </c>
      <c r="AH72" s="61" t="str">
        <f aca="false">IF(N($AD72)=0,"",IFERROR($AD72/(1+$L72)*(1-$AF72)-($AD72*$O72+IF($AD72&lt;=15000,1000,IF($AD72&lt;=25000,2000,IF($AD72&lt;=33000,2400,0)))+N($N72))/(1+Datos!$B$2)-$AD72*Datos!$C$2,"Error"))</f>
        <v/>
      </c>
      <c r="AI72" s="61" t="str">
        <f aca="false">IF($AH72="","",IFERROR($AH72*(1+$D72),"Error"))</f>
        <v/>
      </c>
      <c r="AJ72" s="60" t="str">
        <f aca="false">IF($AH72="","",IFERROR($C72/$AH72-1,"Error"))</f>
        <v/>
      </c>
      <c r="AK72" s="63" t="str">
        <f aca="false">IF($AH72="","",IFERROR(IF($C72&lt;=$AH72,"OK a ese precio","Bajar costo"),"Error"))</f>
        <v/>
      </c>
    </row>
    <row r="73" customFormat="false" ht="15" hidden="false" customHeight="false" outlineLevel="0" collapsed="false">
      <c r="E73" s="0" t="str">
        <f aca="false">IF($C73="","",$C73*(1+$D73))</f>
        <v/>
      </c>
      <c r="J73" s="57"/>
      <c r="K73" s="57"/>
      <c r="L73" s="58"/>
      <c r="M73" s="59"/>
      <c r="N73" s="59"/>
      <c r="O73" s="60" t="str">
        <f aca="false">IF($M73="","",IFERROR(IF($K73="Clásica",VLOOKUP("Argentina"&amp;$J73,Datos!$C:$D,2,0),VLOOKUP("Argentina"&amp;$J73,Datos!$C:$D,2,0)+VLOOKUP("Argentina"&amp;$K73,Datos!$H:$I,2,0)),"Error"))</f>
        <v/>
      </c>
      <c r="P73" s="61" t="str">
        <f aca="false">IF($M73="","",IFERROR(-$M73*$O73,"Error"))</f>
        <v/>
      </c>
      <c r="Q73" s="61" t="str">
        <f aca="false">IF($M73="","",IFERROR(-($P73-$P73/(1+Datos!$B$2)),"Error"))</f>
        <v/>
      </c>
      <c r="R73" s="61" t="str">
        <f aca="false">IF($M73="","",IF($M73&lt;=15000,-1000,IF($M73&lt;=25000,-2000,IF($M73&lt;=33000,-2400,0))))</f>
        <v/>
      </c>
      <c r="S73" s="61" t="str">
        <f aca="false">IF($M73="","",-($R73-$R73/(1+Datos!$B$2)))</f>
        <v/>
      </c>
      <c r="T73" s="61" t="str">
        <f aca="false">IF($M73="","",-$M73/(1+$L73)*$L73)</f>
        <v/>
      </c>
      <c r="U73" s="61" t="str">
        <f aca="false">IF($M73="","",$C73*$D73)</f>
        <v/>
      </c>
      <c r="V73" s="61" t="str">
        <f aca="false">IF($M73="","",-N($N73))</f>
        <v/>
      </c>
      <c r="W73" s="61" t="str">
        <f aca="false">IF($M73="","",-($V73-$V73/(1+Datos!$B$2)))</f>
        <v/>
      </c>
      <c r="X73" s="61" t="str">
        <f aca="false">IF($M73="","",-$M73*Datos!$C$2)</f>
        <v/>
      </c>
      <c r="Y73" s="61" t="str">
        <f aca="false">IF($M73="","",IFERROR($M73+$U73+$T73+$P73+$Q73+$R73+$S73+$V73+$W73+$X73,"Error"))</f>
        <v/>
      </c>
      <c r="Z73" s="61" t="str">
        <f aca="false">IF($M73="","",IFERROR($Y73-$E73,"Error"))</f>
        <v/>
      </c>
      <c r="AA73" s="60" t="str">
        <f aca="false">IF($M73="","",IFERROR($Z73/($M73+$T73),"Error"))</f>
        <v/>
      </c>
      <c r="AB73" s="62" t="str">
        <f aca="false">IF($M73="","",IFERROR($M73/$E73,"Error"))</f>
        <v/>
      </c>
      <c r="AD73" s="59"/>
      <c r="AE73" s="57"/>
      <c r="AF73" s="58"/>
      <c r="AG73" s="60" t="str">
        <f aca="false">IF(N($AD73)=0,"",IFERROR(($AD73/(1+$L73)-($AD73*$O73+IF($AD73&lt;=15000,1000,IF($AD73&lt;=25000,2000,IF($AD73&lt;=33000,2400,0)))+N($N73))/(1+Datos!$B$2)-$AD73*Datos!$C$2-$C73)/($AD73/(1+$L73)),"Error"))</f>
        <v/>
      </c>
      <c r="AH73" s="61" t="str">
        <f aca="false">IF(N($AD73)=0,"",IFERROR($AD73/(1+$L73)*(1-$AF73)-($AD73*$O73+IF($AD73&lt;=15000,1000,IF($AD73&lt;=25000,2000,IF($AD73&lt;=33000,2400,0)))+N($N73))/(1+Datos!$B$2)-$AD73*Datos!$C$2,"Error"))</f>
        <v/>
      </c>
      <c r="AI73" s="61" t="str">
        <f aca="false">IF($AH73="","",IFERROR($AH73*(1+$D73),"Error"))</f>
        <v/>
      </c>
      <c r="AJ73" s="60" t="str">
        <f aca="false">IF($AH73="","",IFERROR($C73/$AH73-1,"Error"))</f>
        <v/>
      </c>
      <c r="AK73" s="63" t="str">
        <f aca="false">IF($AH73="","",IFERROR(IF($C73&lt;=$AH73,"OK a ese precio","Bajar costo"),"Error"))</f>
        <v/>
      </c>
    </row>
    <row r="74" customFormat="false" ht="15" hidden="false" customHeight="false" outlineLevel="0" collapsed="false">
      <c r="E74" s="0" t="str">
        <f aca="false">IF($C74="","",$C74*(1+$D74))</f>
        <v/>
      </c>
      <c r="J74" s="57"/>
      <c r="K74" s="57"/>
      <c r="L74" s="58"/>
      <c r="M74" s="59"/>
      <c r="N74" s="59"/>
      <c r="O74" s="60" t="str">
        <f aca="false">IF($M74="","",IFERROR(IF($K74="Clásica",VLOOKUP("Argentina"&amp;$J74,Datos!$C:$D,2,0),VLOOKUP("Argentina"&amp;$J74,Datos!$C:$D,2,0)+VLOOKUP("Argentina"&amp;$K74,Datos!$H:$I,2,0)),"Error"))</f>
        <v/>
      </c>
      <c r="P74" s="61" t="str">
        <f aca="false">IF($M74="","",IFERROR(-$M74*$O74,"Error"))</f>
        <v/>
      </c>
      <c r="Q74" s="61" t="str">
        <f aca="false">IF($M74="","",IFERROR(-($P74-$P74/(1+Datos!$B$2)),"Error"))</f>
        <v/>
      </c>
      <c r="R74" s="61" t="str">
        <f aca="false">IF($M74="","",IF($M74&lt;=15000,-1000,IF($M74&lt;=25000,-2000,IF($M74&lt;=33000,-2400,0))))</f>
        <v/>
      </c>
      <c r="S74" s="61" t="str">
        <f aca="false">IF($M74="","",-($R74-$R74/(1+Datos!$B$2)))</f>
        <v/>
      </c>
      <c r="T74" s="61" t="str">
        <f aca="false">IF($M74="","",-$M74/(1+$L74)*$L74)</f>
        <v/>
      </c>
      <c r="U74" s="61" t="str">
        <f aca="false">IF($M74="","",$C74*$D74)</f>
        <v/>
      </c>
      <c r="V74" s="61" t="str">
        <f aca="false">IF($M74="","",-N($N74))</f>
        <v/>
      </c>
      <c r="W74" s="61" t="str">
        <f aca="false">IF($M74="","",-($V74-$V74/(1+Datos!$B$2)))</f>
        <v/>
      </c>
      <c r="X74" s="61" t="str">
        <f aca="false">IF($M74="","",-$M74*Datos!$C$2)</f>
        <v/>
      </c>
      <c r="Y74" s="61" t="str">
        <f aca="false">IF($M74="","",IFERROR($M74+$U74+$T74+$P74+$Q74+$R74+$S74+$V74+$W74+$X74,"Error"))</f>
        <v/>
      </c>
      <c r="Z74" s="61" t="str">
        <f aca="false">IF($M74="","",IFERROR($Y74-$E74,"Error"))</f>
        <v/>
      </c>
      <c r="AA74" s="60" t="str">
        <f aca="false">IF($M74="","",IFERROR($Z74/($M74+$T74),"Error"))</f>
        <v/>
      </c>
      <c r="AB74" s="62" t="str">
        <f aca="false">IF($M74="","",IFERROR($M74/$E74,"Error"))</f>
        <v/>
      </c>
      <c r="AD74" s="59"/>
      <c r="AE74" s="57"/>
      <c r="AF74" s="58"/>
      <c r="AG74" s="60" t="str">
        <f aca="false">IF(N($AD74)=0,"",IFERROR(($AD74/(1+$L74)-($AD74*$O74+IF($AD74&lt;=15000,1000,IF($AD74&lt;=25000,2000,IF($AD74&lt;=33000,2400,0)))+N($N74))/(1+Datos!$B$2)-$AD74*Datos!$C$2-$C74)/($AD74/(1+$L74)),"Error"))</f>
        <v/>
      </c>
      <c r="AH74" s="61" t="str">
        <f aca="false">IF(N($AD74)=0,"",IFERROR($AD74/(1+$L74)*(1-$AF74)-($AD74*$O74+IF($AD74&lt;=15000,1000,IF($AD74&lt;=25000,2000,IF($AD74&lt;=33000,2400,0)))+N($N74))/(1+Datos!$B$2)-$AD74*Datos!$C$2,"Error"))</f>
        <v/>
      </c>
      <c r="AI74" s="61" t="str">
        <f aca="false">IF($AH74="","",IFERROR($AH74*(1+$D74),"Error"))</f>
        <v/>
      </c>
      <c r="AJ74" s="60" t="str">
        <f aca="false">IF($AH74="","",IFERROR($C74/$AH74-1,"Error"))</f>
        <v/>
      </c>
      <c r="AK74" s="63" t="str">
        <f aca="false">IF($AH74="","",IFERROR(IF($C74&lt;=$AH74,"OK a ese precio","Bajar costo"),"Error"))</f>
        <v/>
      </c>
    </row>
    <row r="75" customFormat="false" ht="15" hidden="false" customHeight="false" outlineLevel="0" collapsed="false">
      <c r="E75" s="0" t="str">
        <f aca="false">IF($C75="","",$C75*(1+$D75))</f>
        <v/>
      </c>
      <c r="J75" s="57"/>
      <c r="K75" s="57"/>
      <c r="L75" s="58"/>
      <c r="M75" s="59"/>
      <c r="N75" s="59"/>
      <c r="O75" s="60" t="str">
        <f aca="false">IF($M75="","",IFERROR(IF($K75="Clásica",VLOOKUP("Argentina"&amp;$J75,Datos!$C:$D,2,0),VLOOKUP("Argentina"&amp;$J75,Datos!$C:$D,2,0)+VLOOKUP("Argentina"&amp;$K75,Datos!$H:$I,2,0)),"Error"))</f>
        <v/>
      </c>
      <c r="P75" s="61" t="str">
        <f aca="false">IF($M75="","",IFERROR(-$M75*$O75,"Error"))</f>
        <v/>
      </c>
      <c r="Q75" s="61" t="str">
        <f aca="false">IF($M75="","",IFERROR(-($P75-$P75/(1+Datos!$B$2)),"Error"))</f>
        <v/>
      </c>
      <c r="R75" s="61" t="str">
        <f aca="false">IF($M75="","",IF($M75&lt;=15000,-1000,IF($M75&lt;=25000,-2000,IF($M75&lt;=33000,-2400,0))))</f>
        <v/>
      </c>
      <c r="S75" s="61" t="str">
        <f aca="false">IF($M75="","",-($R75-$R75/(1+Datos!$B$2)))</f>
        <v/>
      </c>
      <c r="T75" s="61" t="str">
        <f aca="false">IF($M75="","",-$M75/(1+$L75)*$L75)</f>
        <v/>
      </c>
      <c r="U75" s="61" t="str">
        <f aca="false">IF($M75="","",$C75*$D75)</f>
        <v/>
      </c>
      <c r="V75" s="61" t="str">
        <f aca="false">IF($M75="","",-N($N75))</f>
        <v/>
      </c>
      <c r="W75" s="61" t="str">
        <f aca="false">IF($M75="","",-($V75-$V75/(1+Datos!$B$2)))</f>
        <v/>
      </c>
      <c r="X75" s="61" t="str">
        <f aca="false">IF($M75="","",-$M75*Datos!$C$2)</f>
        <v/>
      </c>
      <c r="Y75" s="61" t="str">
        <f aca="false">IF($M75="","",IFERROR($M75+$U75+$T75+$P75+$Q75+$R75+$S75+$V75+$W75+$X75,"Error"))</f>
        <v/>
      </c>
      <c r="Z75" s="61" t="str">
        <f aca="false">IF($M75="","",IFERROR($Y75-$E75,"Error"))</f>
        <v/>
      </c>
      <c r="AA75" s="60" t="str">
        <f aca="false">IF($M75="","",IFERROR($Z75/($M75+$T75),"Error"))</f>
        <v/>
      </c>
      <c r="AB75" s="62" t="str">
        <f aca="false">IF($M75="","",IFERROR($M75/$E75,"Error"))</f>
        <v/>
      </c>
      <c r="AD75" s="59"/>
      <c r="AE75" s="57"/>
      <c r="AF75" s="58"/>
      <c r="AG75" s="60" t="str">
        <f aca="false">IF(N($AD75)=0,"",IFERROR(($AD75/(1+$L75)-($AD75*$O75+IF($AD75&lt;=15000,1000,IF($AD75&lt;=25000,2000,IF($AD75&lt;=33000,2400,0)))+N($N75))/(1+Datos!$B$2)-$AD75*Datos!$C$2-$C75)/($AD75/(1+$L75)),"Error"))</f>
        <v/>
      </c>
      <c r="AH75" s="61" t="str">
        <f aca="false">IF(N($AD75)=0,"",IFERROR($AD75/(1+$L75)*(1-$AF75)-($AD75*$O75+IF($AD75&lt;=15000,1000,IF($AD75&lt;=25000,2000,IF($AD75&lt;=33000,2400,0)))+N($N75))/(1+Datos!$B$2)-$AD75*Datos!$C$2,"Error"))</f>
        <v/>
      </c>
      <c r="AI75" s="61" t="str">
        <f aca="false">IF($AH75="","",IFERROR($AH75*(1+$D75),"Error"))</f>
        <v/>
      </c>
      <c r="AJ75" s="60" t="str">
        <f aca="false">IF($AH75="","",IFERROR($C75/$AH75-1,"Error"))</f>
        <v/>
      </c>
      <c r="AK75" s="63" t="str">
        <f aca="false">IF($AH75="","",IFERROR(IF($C75&lt;=$AH75,"OK a ese precio","Bajar costo"),"Error"))</f>
        <v/>
      </c>
    </row>
    <row r="76" customFormat="false" ht="15" hidden="false" customHeight="false" outlineLevel="0" collapsed="false">
      <c r="E76" s="0" t="str">
        <f aca="false">IF($C76="","",$C76*(1+$D76))</f>
        <v/>
      </c>
      <c r="J76" s="57"/>
      <c r="K76" s="57"/>
      <c r="L76" s="58"/>
      <c r="M76" s="59"/>
      <c r="N76" s="59"/>
      <c r="O76" s="60" t="str">
        <f aca="false">IF($M76="","",IFERROR(IF($K76="Clásica",VLOOKUP("Argentina"&amp;$J76,Datos!$C:$D,2,0),VLOOKUP("Argentina"&amp;$J76,Datos!$C:$D,2,0)+VLOOKUP("Argentina"&amp;$K76,Datos!$H:$I,2,0)),"Error"))</f>
        <v/>
      </c>
      <c r="P76" s="61" t="str">
        <f aca="false">IF($M76="","",IFERROR(-$M76*$O76,"Error"))</f>
        <v/>
      </c>
      <c r="Q76" s="61" t="str">
        <f aca="false">IF($M76="","",IFERROR(-($P76-$P76/(1+Datos!$B$2)),"Error"))</f>
        <v/>
      </c>
      <c r="R76" s="61" t="str">
        <f aca="false">IF($M76="","",IF($M76&lt;=15000,-1000,IF($M76&lt;=25000,-2000,IF($M76&lt;=33000,-2400,0))))</f>
        <v/>
      </c>
      <c r="S76" s="61" t="str">
        <f aca="false">IF($M76="","",-($R76-$R76/(1+Datos!$B$2)))</f>
        <v/>
      </c>
      <c r="T76" s="61" t="str">
        <f aca="false">IF($M76="","",-$M76/(1+$L76)*$L76)</f>
        <v/>
      </c>
      <c r="U76" s="61" t="str">
        <f aca="false">IF($M76="","",$C76*$D76)</f>
        <v/>
      </c>
      <c r="V76" s="61" t="str">
        <f aca="false">IF($M76="","",-N($N76))</f>
        <v/>
      </c>
      <c r="W76" s="61" t="str">
        <f aca="false">IF($M76="","",-($V76-$V76/(1+Datos!$B$2)))</f>
        <v/>
      </c>
      <c r="X76" s="61" t="str">
        <f aca="false">IF($M76="","",-$M76*Datos!$C$2)</f>
        <v/>
      </c>
      <c r="Y76" s="61" t="str">
        <f aca="false">IF($M76="","",IFERROR($M76+$U76+$T76+$P76+$Q76+$R76+$S76+$V76+$W76+$X76,"Error"))</f>
        <v/>
      </c>
      <c r="Z76" s="61" t="str">
        <f aca="false">IF($M76="","",IFERROR($Y76-$E76,"Error"))</f>
        <v/>
      </c>
      <c r="AA76" s="60" t="str">
        <f aca="false">IF($M76="","",IFERROR($Z76/($M76+$T76),"Error"))</f>
        <v/>
      </c>
      <c r="AB76" s="62" t="str">
        <f aca="false">IF($M76="","",IFERROR($M76/$E76,"Error"))</f>
        <v/>
      </c>
      <c r="AD76" s="59"/>
      <c r="AE76" s="57"/>
      <c r="AF76" s="58"/>
      <c r="AG76" s="60" t="str">
        <f aca="false">IF(N($AD76)=0,"",IFERROR(($AD76/(1+$L76)-($AD76*$O76+IF($AD76&lt;=15000,1000,IF($AD76&lt;=25000,2000,IF($AD76&lt;=33000,2400,0)))+N($N76))/(1+Datos!$B$2)-$AD76*Datos!$C$2-$C76)/($AD76/(1+$L76)),"Error"))</f>
        <v/>
      </c>
      <c r="AH76" s="61" t="str">
        <f aca="false">IF(N($AD76)=0,"",IFERROR($AD76/(1+$L76)*(1-$AF76)-($AD76*$O76+IF($AD76&lt;=15000,1000,IF($AD76&lt;=25000,2000,IF($AD76&lt;=33000,2400,0)))+N($N76))/(1+Datos!$B$2)-$AD76*Datos!$C$2,"Error"))</f>
        <v/>
      </c>
      <c r="AI76" s="61" t="str">
        <f aca="false">IF($AH76="","",IFERROR($AH76*(1+$D76),"Error"))</f>
        <v/>
      </c>
      <c r="AJ76" s="60" t="str">
        <f aca="false">IF($AH76="","",IFERROR($C76/$AH76-1,"Error"))</f>
        <v/>
      </c>
      <c r="AK76" s="63" t="str">
        <f aca="false">IF($AH76="","",IFERROR(IF($C76&lt;=$AH76,"OK a ese precio","Bajar costo"),"Error"))</f>
        <v/>
      </c>
    </row>
    <row r="77" customFormat="false" ht="15" hidden="false" customHeight="false" outlineLevel="0" collapsed="false">
      <c r="E77" s="0" t="str">
        <f aca="false">IF($C77="","",$C77*(1+$D77))</f>
        <v/>
      </c>
      <c r="J77" s="57"/>
      <c r="K77" s="57"/>
      <c r="L77" s="58"/>
      <c r="M77" s="59"/>
      <c r="N77" s="59"/>
      <c r="O77" s="60" t="str">
        <f aca="false">IF($M77="","",IFERROR(IF($K77="Clásica",VLOOKUP("Argentina"&amp;$J77,Datos!$C:$D,2,0),VLOOKUP("Argentina"&amp;$J77,Datos!$C:$D,2,0)+VLOOKUP("Argentina"&amp;$K77,Datos!$H:$I,2,0)),"Error"))</f>
        <v/>
      </c>
      <c r="P77" s="61" t="str">
        <f aca="false">IF($M77="","",IFERROR(-$M77*$O77,"Error"))</f>
        <v/>
      </c>
      <c r="Q77" s="61" t="str">
        <f aca="false">IF($M77="","",IFERROR(-($P77-$P77/(1+Datos!$B$2)),"Error"))</f>
        <v/>
      </c>
      <c r="R77" s="61" t="str">
        <f aca="false">IF($M77="","",IF($M77&lt;=15000,-1000,IF($M77&lt;=25000,-2000,IF($M77&lt;=33000,-2400,0))))</f>
        <v/>
      </c>
      <c r="S77" s="61" t="str">
        <f aca="false">IF($M77="","",-($R77-$R77/(1+Datos!$B$2)))</f>
        <v/>
      </c>
      <c r="T77" s="61" t="str">
        <f aca="false">IF($M77="","",-$M77/(1+$L77)*$L77)</f>
        <v/>
      </c>
      <c r="U77" s="61" t="str">
        <f aca="false">IF($M77="","",$C77*$D77)</f>
        <v/>
      </c>
      <c r="V77" s="61" t="str">
        <f aca="false">IF($M77="","",-N($N77))</f>
        <v/>
      </c>
      <c r="W77" s="61" t="str">
        <f aca="false">IF($M77="","",-($V77-$V77/(1+Datos!$B$2)))</f>
        <v/>
      </c>
      <c r="X77" s="61" t="str">
        <f aca="false">IF($M77="","",-$M77*Datos!$C$2)</f>
        <v/>
      </c>
      <c r="Y77" s="61" t="str">
        <f aca="false">IF($M77="","",IFERROR($M77+$U77+$T77+$P77+$Q77+$R77+$S77+$V77+$W77+$X77,"Error"))</f>
        <v/>
      </c>
      <c r="Z77" s="61" t="str">
        <f aca="false">IF($M77="","",IFERROR($Y77-$E77,"Error"))</f>
        <v/>
      </c>
      <c r="AA77" s="60" t="str">
        <f aca="false">IF($M77="","",IFERROR($Z77/($M77+$T77),"Error"))</f>
        <v/>
      </c>
      <c r="AB77" s="62" t="str">
        <f aca="false">IF($M77="","",IFERROR($M77/$E77,"Error"))</f>
        <v/>
      </c>
      <c r="AD77" s="59"/>
      <c r="AE77" s="57"/>
      <c r="AF77" s="58"/>
      <c r="AG77" s="60" t="str">
        <f aca="false">IF(N($AD77)=0,"",IFERROR(($AD77/(1+$L77)-($AD77*$O77+IF($AD77&lt;=15000,1000,IF($AD77&lt;=25000,2000,IF($AD77&lt;=33000,2400,0)))+N($N77))/(1+Datos!$B$2)-$AD77*Datos!$C$2-$C77)/($AD77/(1+$L77)),"Error"))</f>
        <v/>
      </c>
      <c r="AH77" s="61" t="str">
        <f aca="false">IF(N($AD77)=0,"",IFERROR($AD77/(1+$L77)*(1-$AF77)-($AD77*$O77+IF($AD77&lt;=15000,1000,IF($AD77&lt;=25000,2000,IF($AD77&lt;=33000,2400,0)))+N($N77))/(1+Datos!$B$2)-$AD77*Datos!$C$2,"Error"))</f>
        <v/>
      </c>
      <c r="AI77" s="61" t="str">
        <f aca="false">IF($AH77="","",IFERROR($AH77*(1+$D77),"Error"))</f>
        <v/>
      </c>
      <c r="AJ77" s="60" t="str">
        <f aca="false">IF($AH77="","",IFERROR($C77/$AH77-1,"Error"))</f>
        <v/>
      </c>
      <c r="AK77" s="63" t="str">
        <f aca="false">IF($AH77="","",IFERROR(IF($C77&lt;=$AH77,"OK a ese precio","Bajar costo"),"Error"))</f>
        <v/>
      </c>
    </row>
    <row r="78" customFormat="false" ht="15" hidden="false" customHeight="false" outlineLevel="0" collapsed="false">
      <c r="E78" s="0" t="str">
        <f aca="false">IF($C78="","",$C78*(1+$D78))</f>
        <v/>
      </c>
      <c r="J78" s="57"/>
      <c r="K78" s="57"/>
      <c r="L78" s="58"/>
      <c r="M78" s="59"/>
      <c r="N78" s="59"/>
      <c r="O78" s="60" t="str">
        <f aca="false">IF($M78="","",IFERROR(IF($K78="Clásica",VLOOKUP("Argentina"&amp;$J78,Datos!$C:$D,2,0),VLOOKUP("Argentina"&amp;$J78,Datos!$C:$D,2,0)+VLOOKUP("Argentina"&amp;$K78,Datos!$H:$I,2,0)),"Error"))</f>
        <v/>
      </c>
      <c r="P78" s="61" t="str">
        <f aca="false">IF($M78="","",IFERROR(-$M78*$O78,"Error"))</f>
        <v/>
      </c>
      <c r="Q78" s="61" t="str">
        <f aca="false">IF($M78="","",IFERROR(-($P78-$P78/(1+Datos!$B$2)),"Error"))</f>
        <v/>
      </c>
      <c r="R78" s="61" t="str">
        <f aca="false">IF($M78="","",IF($M78&lt;=15000,-1000,IF($M78&lt;=25000,-2000,IF($M78&lt;=33000,-2400,0))))</f>
        <v/>
      </c>
      <c r="S78" s="61" t="str">
        <f aca="false">IF($M78="","",-($R78-$R78/(1+Datos!$B$2)))</f>
        <v/>
      </c>
      <c r="T78" s="61" t="str">
        <f aca="false">IF($M78="","",-$M78/(1+$L78)*$L78)</f>
        <v/>
      </c>
      <c r="U78" s="61" t="str">
        <f aca="false">IF($M78="","",$C78*$D78)</f>
        <v/>
      </c>
      <c r="V78" s="61" t="str">
        <f aca="false">IF($M78="","",-N($N78))</f>
        <v/>
      </c>
      <c r="W78" s="61" t="str">
        <f aca="false">IF($M78="","",-($V78-$V78/(1+Datos!$B$2)))</f>
        <v/>
      </c>
      <c r="X78" s="61" t="str">
        <f aca="false">IF($M78="","",-$M78*Datos!$C$2)</f>
        <v/>
      </c>
      <c r="Y78" s="61" t="str">
        <f aca="false">IF($M78="","",IFERROR($M78+$U78+$T78+$P78+$Q78+$R78+$S78+$V78+$W78+$X78,"Error"))</f>
        <v/>
      </c>
      <c r="Z78" s="61" t="str">
        <f aca="false">IF($M78="","",IFERROR($Y78-$E78,"Error"))</f>
        <v/>
      </c>
      <c r="AA78" s="60" t="str">
        <f aca="false">IF($M78="","",IFERROR($Z78/($M78+$T78),"Error"))</f>
        <v/>
      </c>
      <c r="AB78" s="62" t="str">
        <f aca="false">IF($M78="","",IFERROR($M78/$E78,"Error"))</f>
        <v/>
      </c>
      <c r="AD78" s="59"/>
      <c r="AE78" s="57"/>
      <c r="AF78" s="58"/>
      <c r="AG78" s="60" t="str">
        <f aca="false">IF(N($AD78)=0,"",IFERROR(($AD78/(1+$L78)-($AD78*$O78+IF($AD78&lt;=15000,1000,IF($AD78&lt;=25000,2000,IF($AD78&lt;=33000,2400,0)))+N($N78))/(1+Datos!$B$2)-$AD78*Datos!$C$2-$C78)/($AD78/(1+$L78)),"Error"))</f>
        <v/>
      </c>
      <c r="AH78" s="61" t="str">
        <f aca="false">IF(N($AD78)=0,"",IFERROR($AD78/(1+$L78)*(1-$AF78)-($AD78*$O78+IF($AD78&lt;=15000,1000,IF($AD78&lt;=25000,2000,IF($AD78&lt;=33000,2400,0)))+N($N78))/(1+Datos!$B$2)-$AD78*Datos!$C$2,"Error"))</f>
        <v/>
      </c>
      <c r="AI78" s="61" t="str">
        <f aca="false">IF($AH78="","",IFERROR($AH78*(1+$D78),"Error"))</f>
        <v/>
      </c>
      <c r="AJ78" s="60" t="str">
        <f aca="false">IF($AH78="","",IFERROR($C78/$AH78-1,"Error"))</f>
        <v/>
      </c>
      <c r="AK78" s="63" t="str">
        <f aca="false">IF($AH78="","",IFERROR(IF($C78&lt;=$AH78,"OK a ese precio","Bajar costo"),"Error"))</f>
        <v/>
      </c>
    </row>
    <row r="79" customFormat="false" ht="15" hidden="false" customHeight="false" outlineLevel="0" collapsed="false">
      <c r="E79" s="0" t="str">
        <f aca="false">IF($C79="","",$C79*(1+$D79))</f>
        <v/>
      </c>
      <c r="J79" s="57"/>
      <c r="K79" s="57"/>
      <c r="L79" s="58"/>
      <c r="M79" s="59"/>
      <c r="N79" s="59"/>
      <c r="O79" s="60" t="str">
        <f aca="false">IF($M79="","",IFERROR(IF($K79="Clásica",VLOOKUP("Argentina"&amp;$J79,Datos!$C:$D,2,0),VLOOKUP("Argentina"&amp;$J79,Datos!$C:$D,2,0)+VLOOKUP("Argentina"&amp;$K79,Datos!$H:$I,2,0)),"Error"))</f>
        <v/>
      </c>
      <c r="P79" s="61" t="str">
        <f aca="false">IF($M79="","",IFERROR(-$M79*$O79,"Error"))</f>
        <v/>
      </c>
      <c r="Q79" s="61" t="str">
        <f aca="false">IF($M79="","",IFERROR(-($P79-$P79/(1+Datos!$B$2)),"Error"))</f>
        <v/>
      </c>
      <c r="R79" s="61" t="str">
        <f aca="false">IF($M79="","",IF($M79&lt;=15000,-1000,IF($M79&lt;=25000,-2000,IF($M79&lt;=33000,-2400,0))))</f>
        <v/>
      </c>
      <c r="S79" s="61" t="str">
        <f aca="false">IF($M79="","",-($R79-$R79/(1+Datos!$B$2)))</f>
        <v/>
      </c>
      <c r="T79" s="61" t="str">
        <f aca="false">IF($M79="","",-$M79/(1+$L79)*$L79)</f>
        <v/>
      </c>
      <c r="U79" s="61" t="str">
        <f aca="false">IF($M79="","",$C79*$D79)</f>
        <v/>
      </c>
      <c r="V79" s="61" t="str">
        <f aca="false">IF($M79="","",-N($N79))</f>
        <v/>
      </c>
      <c r="W79" s="61" t="str">
        <f aca="false">IF($M79="","",-($V79-$V79/(1+Datos!$B$2)))</f>
        <v/>
      </c>
      <c r="X79" s="61" t="str">
        <f aca="false">IF($M79="","",-$M79*Datos!$C$2)</f>
        <v/>
      </c>
      <c r="Y79" s="61" t="str">
        <f aca="false">IF($M79="","",IFERROR($M79+$U79+$T79+$P79+$Q79+$R79+$S79+$V79+$W79+$X79,"Error"))</f>
        <v/>
      </c>
      <c r="Z79" s="61" t="str">
        <f aca="false">IF($M79="","",IFERROR($Y79-$E79,"Error"))</f>
        <v/>
      </c>
      <c r="AA79" s="60" t="str">
        <f aca="false">IF($M79="","",IFERROR($Z79/($M79+$T79),"Error"))</f>
        <v/>
      </c>
      <c r="AB79" s="62" t="str">
        <f aca="false">IF($M79="","",IFERROR($M79/$E79,"Error"))</f>
        <v/>
      </c>
      <c r="AD79" s="59"/>
      <c r="AE79" s="57"/>
      <c r="AF79" s="58"/>
      <c r="AG79" s="60" t="str">
        <f aca="false">IF(N($AD79)=0,"",IFERROR(($AD79/(1+$L79)-($AD79*$O79+IF($AD79&lt;=15000,1000,IF($AD79&lt;=25000,2000,IF($AD79&lt;=33000,2400,0)))+N($N79))/(1+Datos!$B$2)-$AD79*Datos!$C$2-$C79)/($AD79/(1+$L79)),"Error"))</f>
        <v/>
      </c>
      <c r="AH79" s="61" t="str">
        <f aca="false">IF(N($AD79)=0,"",IFERROR($AD79/(1+$L79)*(1-$AF79)-($AD79*$O79+IF($AD79&lt;=15000,1000,IF($AD79&lt;=25000,2000,IF($AD79&lt;=33000,2400,0)))+N($N79))/(1+Datos!$B$2)-$AD79*Datos!$C$2,"Error"))</f>
        <v/>
      </c>
      <c r="AI79" s="61" t="str">
        <f aca="false">IF($AH79="","",IFERROR($AH79*(1+$D79),"Error"))</f>
        <v/>
      </c>
      <c r="AJ79" s="60" t="str">
        <f aca="false">IF($AH79="","",IFERROR($C79/$AH79-1,"Error"))</f>
        <v/>
      </c>
      <c r="AK79" s="63" t="str">
        <f aca="false">IF($AH79="","",IFERROR(IF($C79&lt;=$AH79,"OK a ese precio","Bajar costo"),"Error"))</f>
        <v/>
      </c>
    </row>
    <row r="80" customFormat="false" ht="15" hidden="false" customHeight="false" outlineLevel="0" collapsed="false">
      <c r="E80" s="0" t="str">
        <f aca="false">IF($C80="","",$C80*(1+$D80))</f>
        <v/>
      </c>
      <c r="J80" s="57"/>
      <c r="K80" s="57"/>
      <c r="L80" s="58"/>
      <c r="M80" s="59"/>
      <c r="N80" s="59"/>
      <c r="O80" s="60" t="str">
        <f aca="false">IF($M80="","",IFERROR(IF($K80="Clásica",VLOOKUP("Argentina"&amp;$J80,Datos!$C:$D,2,0),VLOOKUP("Argentina"&amp;$J80,Datos!$C:$D,2,0)+VLOOKUP("Argentina"&amp;$K80,Datos!$H:$I,2,0)),"Error"))</f>
        <v/>
      </c>
      <c r="P80" s="61" t="str">
        <f aca="false">IF($M80="","",IFERROR(-$M80*$O80,"Error"))</f>
        <v/>
      </c>
      <c r="Q80" s="61" t="str">
        <f aca="false">IF($M80="","",IFERROR(-($P80-$P80/(1+Datos!$B$2)),"Error"))</f>
        <v/>
      </c>
      <c r="R80" s="61" t="str">
        <f aca="false">IF($M80="","",IF($M80&lt;=15000,-1000,IF($M80&lt;=25000,-2000,IF($M80&lt;=33000,-2400,0))))</f>
        <v/>
      </c>
      <c r="S80" s="61" t="str">
        <f aca="false">IF($M80="","",-($R80-$R80/(1+Datos!$B$2)))</f>
        <v/>
      </c>
      <c r="T80" s="61" t="str">
        <f aca="false">IF($M80="","",-$M80/(1+$L80)*$L80)</f>
        <v/>
      </c>
      <c r="U80" s="61" t="str">
        <f aca="false">IF($M80="","",$C80*$D80)</f>
        <v/>
      </c>
      <c r="V80" s="61" t="str">
        <f aca="false">IF($M80="","",-N($N80))</f>
        <v/>
      </c>
      <c r="W80" s="61" t="str">
        <f aca="false">IF($M80="","",-($V80-$V80/(1+Datos!$B$2)))</f>
        <v/>
      </c>
      <c r="X80" s="61" t="str">
        <f aca="false">IF($M80="","",-$M80*Datos!$C$2)</f>
        <v/>
      </c>
      <c r="Y80" s="61" t="str">
        <f aca="false">IF($M80="","",IFERROR($M80+$U80+$T80+$P80+$Q80+$R80+$S80+$V80+$W80+$X80,"Error"))</f>
        <v/>
      </c>
      <c r="Z80" s="61" t="str">
        <f aca="false">IF($M80="","",IFERROR($Y80-$E80,"Error"))</f>
        <v/>
      </c>
      <c r="AA80" s="60" t="str">
        <f aca="false">IF($M80="","",IFERROR($Z80/($M80+$T80),"Error"))</f>
        <v/>
      </c>
      <c r="AB80" s="62" t="str">
        <f aca="false">IF($M80="","",IFERROR($M80/$E80,"Error"))</f>
        <v/>
      </c>
      <c r="AD80" s="59"/>
      <c r="AE80" s="57"/>
      <c r="AF80" s="58"/>
      <c r="AG80" s="60" t="str">
        <f aca="false">IF(N($AD80)=0,"",IFERROR(($AD80/(1+$L80)-($AD80*$O80+IF($AD80&lt;=15000,1000,IF($AD80&lt;=25000,2000,IF($AD80&lt;=33000,2400,0)))+N($N80))/(1+Datos!$B$2)-$AD80*Datos!$C$2-$C80)/($AD80/(1+$L80)),"Error"))</f>
        <v/>
      </c>
      <c r="AH80" s="61" t="str">
        <f aca="false">IF(N($AD80)=0,"",IFERROR($AD80/(1+$L80)*(1-$AF80)-($AD80*$O80+IF($AD80&lt;=15000,1000,IF($AD80&lt;=25000,2000,IF($AD80&lt;=33000,2400,0)))+N($N80))/(1+Datos!$B$2)-$AD80*Datos!$C$2,"Error"))</f>
        <v/>
      </c>
      <c r="AI80" s="61" t="str">
        <f aca="false">IF($AH80="","",IFERROR($AH80*(1+$D80),"Error"))</f>
        <v/>
      </c>
      <c r="AJ80" s="60" t="str">
        <f aca="false">IF($AH80="","",IFERROR($C80/$AH80-1,"Error"))</f>
        <v/>
      </c>
      <c r="AK80" s="63" t="str">
        <f aca="false">IF($AH80="","",IFERROR(IF($C80&lt;=$AH80,"OK a ese precio","Bajar costo"),"Error"))</f>
        <v/>
      </c>
    </row>
    <row r="81" customFormat="false" ht="15" hidden="false" customHeight="false" outlineLevel="0" collapsed="false">
      <c r="E81" s="0" t="str">
        <f aca="false">IF($C81="","",$C81*(1+$D81))</f>
        <v/>
      </c>
      <c r="J81" s="57"/>
      <c r="K81" s="57"/>
      <c r="L81" s="58"/>
      <c r="M81" s="59"/>
      <c r="N81" s="59"/>
      <c r="O81" s="60" t="str">
        <f aca="false">IF($M81="","",IFERROR(IF($K81="Clásica",VLOOKUP("Argentina"&amp;$J81,Datos!$C:$D,2,0),VLOOKUP("Argentina"&amp;$J81,Datos!$C:$D,2,0)+VLOOKUP("Argentina"&amp;$K81,Datos!$H:$I,2,0)),"Error"))</f>
        <v/>
      </c>
      <c r="P81" s="61" t="str">
        <f aca="false">IF($M81="","",IFERROR(-$M81*$O81,"Error"))</f>
        <v/>
      </c>
      <c r="Q81" s="61" t="str">
        <f aca="false">IF($M81="","",IFERROR(-($P81-$P81/(1+Datos!$B$2)),"Error"))</f>
        <v/>
      </c>
      <c r="R81" s="61" t="str">
        <f aca="false">IF($M81="","",IF($M81&lt;=15000,-1000,IF($M81&lt;=25000,-2000,IF($M81&lt;=33000,-2400,0))))</f>
        <v/>
      </c>
      <c r="S81" s="61" t="str">
        <f aca="false">IF($M81="","",-($R81-$R81/(1+Datos!$B$2)))</f>
        <v/>
      </c>
      <c r="T81" s="61" t="str">
        <f aca="false">IF($M81="","",-$M81/(1+$L81)*$L81)</f>
        <v/>
      </c>
      <c r="U81" s="61" t="str">
        <f aca="false">IF($M81="","",$C81*$D81)</f>
        <v/>
      </c>
      <c r="V81" s="61" t="str">
        <f aca="false">IF($M81="","",-N($N81))</f>
        <v/>
      </c>
      <c r="W81" s="61" t="str">
        <f aca="false">IF($M81="","",-($V81-$V81/(1+Datos!$B$2)))</f>
        <v/>
      </c>
      <c r="X81" s="61" t="str">
        <f aca="false">IF($M81="","",-$M81*Datos!$C$2)</f>
        <v/>
      </c>
      <c r="Y81" s="61" t="str">
        <f aca="false">IF($M81="","",IFERROR($M81+$U81+$T81+$P81+$Q81+$R81+$S81+$V81+$W81+$X81,"Error"))</f>
        <v/>
      </c>
      <c r="Z81" s="61" t="str">
        <f aca="false">IF($M81="","",IFERROR($Y81-$E81,"Error"))</f>
        <v/>
      </c>
      <c r="AA81" s="60" t="str">
        <f aca="false">IF($M81="","",IFERROR($Z81/($M81+$T81),"Error"))</f>
        <v/>
      </c>
      <c r="AB81" s="62" t="str">
        <f aca="false">IF($M81="","",IFERROR($M81/$E81,"Error"))</f>
        <v/>
      </c>
      <c r="AD81" s="59"/>
      <c r="AE81" s="57"/>
      <c r="AF81" s="58"/>
      <c r="AG81" s="60" t="str">
        <f aca="false">IF(N($AD81)=0,"",IFERROR(($AD81/(1+$L81)-($AD81*$O81+IF($AD81&lt;=15000,1000,IF($AD81&lt;=25000,2000,IF($AD81&lt;=33000,2400,0)))+N($N81))/(1+Datos!$B$2)-$AD81*Datos!$C$2-$C81)/($AD81/(1+$L81)),"Error"))</f>
        <v/>
      </c>
      <c r="AH81" s="61" t="str">
        <f aca="false">IF(N($AD81)=0,"",IFERROR($AD81/(1+$L81)*(1-$AF81)-($AD81*$O81+IF($AD81&lt;=15000,1000,IF($AD81&lt;=25000,2000,IF($AD81&lt;=33000,2400,0)))+N($N81))/(1+Datos!$B$2)-$AD81*Datos!$C$2,"Error"))</f>
        <v/>
      </c>
      <c r="AI81" s="61" t="str">
        <f aca="false">IF($AH81="","",IFERROR($AH81*(1+$D81),"Error"))</f>
        <v/>
      </c>
      <c r="AJ81" s="60" t="str">
        <f aca="false">IF($AH81="","",IFERROR($C81/$AH81-1,"Error"))</f>
        <v/>
      </c>
      <c r="AK81" s="63" t="str">
        <f aca="false">IF($AH81="","",IFERROR(IF($C81&lt;=$AH81,"OK a ese precio","Bajar costo"),"Error"))</f>
        <v/>
      </c>
    </row>
    <row r="82" customFormat="false" ht="15" hidden="false" customHeight="false" outlineLevel="0" collapsed="false">
      <c r="E82" s="0" t="str">
        <f aca="false">IF($C82="","",$C82*(1+$D82))</f>
        <v/>
      </c>
      <c r="J82" s="57"/>
      <c r="K82" s="57"/>
      <c r="L82" s="58"/>
      <c r="M82" s="59"/>
      <c r="N82" s="59"/>
      <c r="O82" s="60" t="str">
        <f aca="false">IF($M82="","",IFERROR(IF($K82="Clásica",VLOOKUP("Argentina"&amp;$J82,Datos!$C:$D,2,0),VLOOKUP("Argentina"&amp;$J82,Datos!$C:$D,2,0)+VLOOKUP("Argentina"&amp;$K82,Datos!$H:$I,2,0)),"Error"))</f>
        <v/>
      </c>
      <c r="P82" s="61" t="str">
        <f aca="false">IF($M82="","",IFERROR(-$M82*$O82,"Error"))</f>
        <v/>
      </c>
      <c r="Q82" s="61" t="str">
        <f aca="false">IF($M82="","",IFERROR(-($P82-$P82/(1+Datos!$B$2)),"Error"))</f>
        <v/>
      </c>
      <c r="R82" s="61" t="str">
        <f aca="false">IF($M82="","",IF($M82&lt;=15000,-1000,IF($M82&lt;=25000,-2000,IF($M82&lt;=33000,-2400,0))))</f>
        <v/>
      </c>
      <c r="S82" s="61" t="str">
        <f aca="false">IF($M82="","",-($R82-$R82/(1+Datos!$B$2)))</f>
        <v/>
      </c>
      <c r="T82" s="61" t="str">
        <f aca="false">IF($M82="","",-$M82/(1+$L82)*$L82)</f>
        <v/>
      </c>
      <c r="U82" s="61" t="str">
        <f aca="false">IF($M82="","",$C82*$D82)</f>
        <v/>
      </c>
      <c r="V82" s="61" t="str">
        <f aca="false">IF($M82="","",-N($N82))</f>
        <v/>
      </c>
      <c r="W82" s="61" t="str">
        <f aca="false">IF($M82="","",-($V82-$V82/(1+Datos!$B$2)))</f>
        <v/>
      </c>
      <c r="X82" s="61" t="str">
        <f aca="false">IF($M82="","",-$M82*Datos!$C$2)</f>
        <v/>
      </c>
      <c r="Y82" s="61" t="str">
        <f aca="false">IF($M82="","",IFERROR($M82+$U82+$T82+$P82+$Q82+$R82+$S82+$V82+$W82+$X82,"Error"))</f>
        <v/>
      </c>
      <c r="Z82" s="61" t="str">
        <f aca="false">IF($M82="","",IFERROR($Y82-$E82,"Error"))</f>
        <v/>
      </c>
      <c r="AA82" s="60" t="str">
        <f aca="false">IF($M82="","",IFERROR($Z82/($M82+$T82),"Error"))</f>
        <v/>
      </c>
      <c r="AB82" s="62" t="str">
        <f aca="false">IF($M82="","",IFERROR($M82/$E82,"Error"))</f>
        <v/>
      </c>
      <c r="AD82" s="59"/>
      <c r="AE82" s="57"/>
      <c r="AF82" s="58"/>
      <c r="AG82" s="60" t="str">
        <f aca="false">IF(N($AD82)=0,"",IFERROR(($AD82/(1+$L82)-($AD82*$O82+IF($AD82&lt;=15000,1000,IF($AD82&lt;=25000,2000,IF($AD82&lt;=33000,2400,0)))+N($N82))/(1+Datos!$B$2)-$AD82*Datos!$C$2-$C82)/($AD82/(1+$L82)),"Error"))</f>
        <v/>
      </c>
      <c r="AH82" s="61" t="str">
        <f aca="false">IF(N($AD82)=0,"",IFERROR($AD82/(1+$L82)*(1-$AF82)-($AD82*$O82+IF($AD82&lt;=15000,1000,IF($AD82&lt;=25000,2000,IF($AD82&lt;=33000,2400,0)))+N($N82))/(1+Datos!$B$2)-$AD82*Datos!$C$2,"Error"))</f>
        <v/>
      </c>
      <c r="AI82" s="61" t="str">
        <f aca="false">IF($AH82="","",IFERROR($AH82*(1+$D82),"Error"))</f>
        <v/>
      </c>
      <c r="AJ82" s="60" t="str">
        <f aca="false">IF($AH82="","",IFERROR($C82/$AH82-1,"Error"))</f>
        <v/>
      </c>
      <c r="AK82" s="63" t="str">
        <f aca="false">IF($AH82="","",IFERROR(IF($C82&lt;=$AH82,"OK a ese precio","Bajar costo"),"Error"))</f>
        <v/>
      </c>
    </row>
    <row r="83" customFormat="false" ht="15" hidden="false" customHeight="false" outlineLevel="0" collapsed="false">
      <c r="E83" s="0" t="str">
        <f aca="false">IF($C83="","",$C83*(1+$D83))</f>
        <v/>
      </c>
      <c r="J83" s="57"/>
      <c r="K83" s="57"/>
      <c r="L83" s="58"/>
      <c r="M83" s="59"/>
      <c r="N83" s="59"/>
      <c r="O83" s="60" t="str">
        <f aca="false">IF($M83="","",IFERROR(IF($K83="Clásica",VLOOKUP("Argentina"&amp;$J83,Datos!$C:$D,2,0),VLOOKUP("Argentina"&amp;$J83,Datos!$C:$D,2,0)+VLOOKUP("Argentina"&amp;$K83,Datos!$H:$I,2,0)),"Error"))</f>
        <v/>
      </c>
      <c r="P83" s="61" t="str">
        <f aca="false">IF($M83="","",IFERROR(-$M83*$O83,"Error"))</f>
        <v/>
      </c>
      <c r="Q83" s="61" t="str">
        <f aca="false">IF($M83="","",IFERROR(-($P83-$P83/(1+Datos!$B$2)),"Error"))</f>
        <v/>
      </c>
      <c r="R83" s="61" t="str">
        <f aca="false">IF($M83="","",IF($M83&lt;=15000,-1000,IF($M83&lt;=25000,-2000,IF($M83&lt;=33000,-2400,0))))</f>
        <v/>
      </c>
      <c r="S83" s="61" t="str">
        <f aca="false">IF($M83="","",-($R83-$R83/(1+Datos!$B$2)))</f>
        <v/>
      </c>
      <c r="T83" s="61" t="str">
        <f aca="false">IF($M83="","",-$M83/(1+$L83)*$L83)</f>
        <v/>
      </c>
      <c r="U83" s="61" t="str">
        <f aca="false">IF($M83="","",$C83*$D83)</f>
        <v/>
      </c>
      <c r="V83" s="61" t="str">
        <f aca="false">IF($M83="","",-N($N83))</f>
        <v/>
      </c>
      <c r="W83" s="61" t="str">
        <f aca="false">IF($M83="","",-($V83-$V83/(1+Datos!$B$2)))</f>
        <v/>
      </c>
      <c r="X83" s="61" t="str">
        <f aca="false">IF($M83="","",-$M83*Datos!$C$2)</f>
        <v/>
      </c>
      <c r="Y83" s="61" t="str">
        <f aca="false">IF($M83="","",IFERROR($M83+$U83+$T83+$P83+$Q83+$R83+$S83+$V83+$W83+$X83,"Error"))</f>
        <v/>
      </c>
      <c r="Z83" s="61" t="str">
        <f aca="false">IF($M83="","",IFERROR($Y83-$E83,"Error"))</f>
        <v/>
      </c>
      <c r="AA83" s="60" t="str">
        <f aca="false">IF($M83="","",IFERROR($Z83/($M83+$T83),"Error"))</f>
        <v/>
      </c>
      <c r="AB83" s="62" t="str">
        <f aca="false">IF($M83="","",IFERROR($M83/$E83,"Error"))</f>
        <v/>
      </c>
      <c r="AD83" s="59"/>
      <c r="AE83" s="57"/>
      <c r="AF83" s="58"/>
      <c r="AG83" s="60" t="str">
        <f aca="false">IF(N($AD83)=0,"",IFERROR(($AD83/(1+$L83)-($AD83*$O83+IF($AD83&lt;=15000,1000,IF($AD83&lt;=25000,2000,IF($AD83&lt;=33000,2400,0)))+N($N83))/(1+Datos!$B$2)-$AD83*Datos!$C$2-$C83)/($AD83/(1+$L83)),"Error"))</f>
        <v/>
      </c>
      <c r="AH83" s="61" t="str">
        <f aca="false">IF(N($AD83)=0,"",IFERROR($AD83/(1+$L83)*(1-$AF83)-($AD83*$O83+IF($AD83&lt;=15000,1000,IF($AD83&lt;=25000,2000,IF($AD83&lt;=33000,2400,0)))+N($N83))/(1+Datos!$B$2)-$AD83*Datos!$C$2,"Error"))</f>
        <v/>
      </c>
      <c r="AI83" s="61" t="str">
        <f aca="false">IF($AH83="","",IFERROR($AH83*(1+$D83),"Error"))</f>
        <v/>
      </c>
      <c r="AJ83" s="60" t="str">
        <f aca="false">IF($AH83="","",IFERROR($C83/$AH83-1,"Error"))</f>
        <v/>
      </c>
      <c r="AK83" s="63" t="str">
        <f aca="false">IF($AH83="","",IFERROR(IF($C83&lt;=$AH83,"OK a ese precio","Bajar costo"),"Error"))</f>
        <v/>
      </c>
    </row>
    <row r="84" customFormat="false" ht="15" hidden="false" customHeight="false" outlineLevel="0" collapsed="false">
      <c r="E84" s="0" t="str">
        <f aca="false">IF($C84="","",$C84*(1+$D84))</f>
        <v/>
      </c>
      <c r="J84" s="57"/>
      <c r="K84" s="57"/>
      <c r="L84" s="58"/>
      <c r="M84" s="59"/>
      <c r="N84" s="59"/>
      <c r="O84" s="60" t="str">
        <f aca="false">IF($M84="","",IFERROR(IF($K84="Clásica",VLOOKUP("Argentina"&amp;$J84,Datos!$C:$D,2,0),VLOOKUP("Argentina"&amp;$J84,Datos!$C:$D,2,0)+VLOOKUP("Argentina"&amp;$K84,Datos!$H:$I,2,0)),"Error"))</f>
        <v/>
      </c>
      <c r="P84" s="61" t="str">
        <f aca="false">IF($M84="","",IFERROR(-$M84*$O84,"Error"))</f>
        <v/>
      </c>
      <c r="Q84" s="61" t="str">
        <f aca="false">IF($M84="","",IFERROR(-($P84-$P84/(1+Datos!$B$2)),"Error"))</f>
        <v/>
      </c>
      <c r="R84" s="61" t="str">
        <f aca="false">IF($M84="","",IF($M84&lt;=15000,-1000,IF($M84&lt;=25000,-2000,IF($M84&lt;=33000,-2400,0))))</f>
        <v/>
      </c>
      <c r="S84" s="61" t="str">
        <f aca="false">IF($M84="","",-($R84-$R84/(1+Datos!$B$2)))</f>
        <v/>
      </c>
      <c r="T84" s="61" t="str">
        <f aca="false">IF($M84="","",-$M84/(1+$L84)*$L84)</f>
        <v/>
      </c>
      <c r="U84" s="61" t="str">
        <f aca="false">IF($M84="","",$C84*$D84)</f>
        <v/>
      </c>
      <c r="V84" s="61" t="str">
        <f aca="false">IF($M84="","",-N($N84))</f>
        <v/>
      </c>
      <c r="W84" s="61" t="str">
        <f aca="false">IF($M84="","",-($V84-$V84/(1+Datos!$B$2)))</f>
        <v/>
      </c>
      <c r="X84" s="61" t="str">
        <f aca="false">IF($M84="","",-$M84*Datos!$C$2)</f>
        <v/>
      </c>
      <c r="Y84" s="61" t="str">
        <f aca="false">IF($M84="","",IFERROR($M84+$U84+$T84+$P84+$Q84+$R84+$S84+$V84+$W84+$X84,"Error"))</f>
        <v/>
      </c>
      <c r="Z84" s="61" t="str">
        <f aca="false">IF($M84="","",IFERROR($Y84-$E84,"Error"))</f>
        <v/>
      </c>
      <c r="AA84" s="60" t="str">
        <f aca="false">IF($M84="","",IFERROR($Z84/($M84+$T84),"Error"))</f>
        <v/>
      </c>
      <c r="AB84" s="62" t="str">
        <f aca="false">IF($M84="","",IFERROR($M84/$E84,"Error"))</f>
        <v/>
      </c>
      <c r="AD84" s="59"/>
      <c r="AE84" s="57"/>
      <c r="AF84" s="58"/>
      <c r="AG84" s="60" t="str">
        <f aca="false">IF(N($AD84)=0,"",IFERROR(($AD84/(1+$L84)-($AD84*$O84+IF($AD84&lt;=15000,1000,IF($AD84&lt;=25000,2000,IF($AD84&lt;=33000,2400,0)))+N($N84))/(1+Datos!$B$2)-$AD84*Datos!$C$2-$C84)/($AD84/(1+$L84)),"Error"))</f>
        <v/>
      </c>
      <c r="AH84" s="61" t="str">
        <f aca="false">IF(N($AD84)=0,"",IFERROR($AD84/(1+$L84)*(1-$AF84)-($AD84*$O84+IF($AD84&lt;=15000,1000,IF($AD84&lt;=25000,2000,IF($AD84&lt;=33000,2400,0)))+N($N84))/(1+Datos!$B$2)-$AD84*Datos!$C$2,"Error"))</f>
        <v/>
      </c>
      <c r="AI84" s="61" t="str">
        <f aca="false">IF($AH84="","",IFERROR($AH84*(1+$D84),"Error"))</f>
        <v/>
      </c>
      <c r="AJ84" s="60" t="str">
        <f aca="false">IF($AH84="","",IFERROR($C84/$AH84-1,"Error"))</f>
        <v/>
      </c>
      <c r="AK84" s="63" t="str">
        <f aca="false">IF($AH84="","",IFERROR(IF($C84&lt;=$AH84,"OK a ese precio","Bajar costo"),"Error"))</f>
        <v/>
      </c>
    </row>
    <row r="85" customFormat="false" ht="15" hidden="false" customHeight="false" outlineLevel="0" collapsed="false">
      <c r="E85" s="0" t="str">
        <f aca="false">IF($C85="","",$C85*(1+$D85))</f>
        <v/>
      </c>
      <c r="J85" s="57"/>
      <c r="K85" s="57"/>
      <c r="L85" s="58"/>
      <c r="M85" s="59"/>
      <c r="N85" s="59"/>
      <c r="O85" s="60" t="str">
        <f aca="false">IF($M85="","",IFERROR(IF($K85="Clásica",VLOOKUP("Argentina"&amp;$J85,Datos!$C:$D,2,0),VLOOKUP("Argentina"&amp;$J85,Datos!$C:$D,2,0)+VLOOKUP("Argentina"&amp;$K85,Datos!$H:$I,2,0)),"Error"))</f>
        <v/>
      </c>
      <c r="P85" s="61" t="str">
        <f aca="false">IF($M85="","",IFERROR(-$M85*$O85,"Error"))</f>
        <v/>
      </c>
      <c r="Q85" s="61" t="str">
        <f aca="false">IF($M85="","",IFERROR(-($P85-$P85/(1+Datos!$B$2)),"Error"))</f>
        <v/>
      </c>
      <c r="R85" s="61" t="str">
        <f aca="false">IF($M85="","",IF($M85&lt;=15000,-1000,IF($M85&lt;=25000,-2000,IF($M85&lt;=33000,-2400,0))))</f>
        <v/>
      </c>
      <c r="S85" s="61" t="str">
        <f aca="false">IF($M85="","",-($R85-$R85/(1+Datos!$B$2)))</f>
        <v/>
      </c>
      <c r="T85" s="61" t="str">
        <f aca="false">IF($M85="","",-$M85/(1+$L85)*$L85)</f>
        <v/>
      </c>
      <c r="U85" s="61" t="str">
        <f aca="false">IF($M85="","",$C85*$D85)</f>
        <v/>
      </c>
      <c r="V85" s="61" t="str">
        <f aca="false">IF($M85="","",-N($N85))</f>
        <v/>
      </c>
      <c r="W85" s="61" t="str">
        <f aca="false">IF($M85="","",-($V85-$V85/(1+Datos!$B$2)))</f>
        <v/>
      </c>
      <c r="X85" s="61" t="str">
        <f aca="false">IF($M85="","",-$M85*Datos!$C$2)</f>
        <v/>
      </c>
      <c r="Y85" s="61" t="str">
        <f aca="false">IF($M85="","",IFERROR($M85+$U85+$T85+$P85+$Q85+$R85+$S85+$V85+$W85+$X85,"Error"))</f>
        <v/>
      </c>
      <c r="Z85" s="61" t="str">
        <f aca="false">IF($M85="","",IFERROR($Y85-$E85,"Error"))</f>
        <v/>
      </c>
      <c r="AA85" s="60" t="str">
        <f aca="false">IF($M85="","",IFERROR($Z85/($M85+$T85),"Error"))</f>
        <v/>
      </c>
      <c r="AB85" s="62" t="str">
        <f aca="false">IF($M85="","",IFERROR($M85/$E85,"Error"))</f>
        <v/>
      </c>
      <c r="AD85" s="59"/>
      <c r="AE85" s="57"/>
      <c r="AF85" s="58"/>
      <c r="AG85" s="60" t="str">
        <f aca="false">IF(N($AD85)=0,"",IFERROR(($AD85/(1+$L85)-($AD85*$O85+IF($AD85&lt;=15000,1000,IF($AD85&lt;=25000,2000,IF($AD85&lt;=33000,2400,0)))+N($N85))/(1+Datos!$B$2)-$AD85*Datos!$C$2-$C85)/($AD85/(1+$L85)),"Error"))</f>
        <v/>
      </c>
      <c r="AH85" s="61" t="str">
        <f aca="false">IF(N($AD85)=0,"",IFERROR($AD85/(1+$L85)*(1-$AF85)-($AD85*$O85+IF($AD85&lt;=15000,1000,IF($AD85&lt;=25000,2000,IF($AD85&lt;=33000,2400,0)))+N($N85))/(1+Datos!$B$2)-$AD85*Datos!$C$2,"Error"))</f>
        <v/>
      </c>
      <c r="AI85" s="61" t="str">
        <f aca="false">IF($AH85="","",IFERROR($AH85*(1+$D85),"Error"))</f>
        <v/>
      </c>
      <c r="AJ85" s="60" t="str">
        <f aca="false">IF($AH85="","",IFERROR($C85/$AH85-1,"Error"))</f>
        <v/>
      </c>
      <c r="AK85" s="63" t="str">
        <f aca="false">IF($AH85="","",IFERROR(IF($C85&lt;=$AH85,"OK a ese precio","Bajar costo"),"Error"))</f>
        <v/>
      </c>
    </row>
    <row r="86" customFormat="false" ht="15" hidden="false" customHeight="false" outlineLevel="0" collapsed="false">
      <c r="E86" s="0" t="str">
        <f aca="false">IF($C86="","",$C86*(1+$D86))</f>
        <v/>
      </c>
      <c r="J86" s="57"/>
      <c r="K86" s="57"/>
      <c r="L86" s="58"/>
      <c r="M86" s="59"/>
      <c r="N86" s="59"/>
      <c r="O86" s="60" t="str">
        <f aca="false">IF($M86="","",IFERROR(IF($K86="Clásica",VLOOKUP("Argentina"&amp;$J86,Datos!$C:$D,2,0),VLOOKUP("Argentina"&amp;$J86,Datos!$C:$D,2,0)+VLOOKUP("Argentina"&amp;$K86,Datos!$H:$I,2,0)),"Error"))</f>
        <v/>
      </c>
      <c r="P86" s="61" t="str">
        <f aca="false">IF($M86="","",IFERROR(-$M86*$O86,"Error"))</f>
        <v/>
      </c>
      <c r="Q86" s="61" t="str">
        <f aca="false">IF($M86="","",IFERROR(-($P86-$P86/(1+Datos!$B$2)),"Error"))</f>
        <v/>
      </c>
      <c r="R86" s="61" t="str">
        <f aca="false">IF($M86="","",IF($M86&lt;=15000,-1000,IF($M86&lt;=25000,-2000,IF($M86&lt;=33000,-2400,0))))</f>
        <v/>
      </c>
      <c r="S86" s="61" t="str">
        <f aca="false">IF($M86="","",-($R86-$R86/(1+Datos!$B$2)))</f>
        <v/>
      </c>
      <c r="T86" s="61" t="str">
        <f aca="false">IF($M86="","",-$M86/(1+$L86)*$L86)</f>
        <v/>
      </c>
      <c r="U86" s="61" t="str">
        <f aca="false">IF($M86="","",$C86*$D86)</f>
        <v/>
      </c>
      <c r="V86" s="61" t="str">
        <f aca="false">IF($M86="","",-N($N86))</f>
        <v/>
      </c>
      <c r="W86" s="61" t="str">
        <f aca="false">IF($M86="","",-($V86-$V86/(1+Datos!$B$2)))</f>
        <v/>
      </c>
      <c r="X86" s="61" t="str">
        <f aca="false">IF($M86="","",-$M86*Datos!$C$2)</f>
        <v/>
      </c>
      <c r="Y86" s="61" t="str">
        <f aca="false">IF($M86="","",IFERROR($M86+$U86+$T86+$P86+$Q86+$R86+$S86+$V86+$W86+$X86,"Error"))</f>
        <v/>
      </c>
      <c r="Z86" s="61" t="str">
        <f aca="false">IF($M86="","",IFERROR($Y86-$E86,"Error"))</f>
        <v/>
      </c>
      <c r="AA86" s="60" t="str">
        <f aca="false">IF($M86="","",IFERROR($Z86/($M86+$T86),"Error"))</f>
        <v/>
      </c>
      <c r="AB86" s="62" t="str">
        <f aca="false">IF($M86="","",IFERROR($M86/$E86,"Error"))</f>
        <v/>
      </c>
      <c r="AD86" s="59"/>
      <c r="AE86" s="57"/>
      <c r="AF86" s="58"/>
      <c r="AG86" s="60" t="str">
        <f aca="false">IF(N($AD86)=0,"",IFERROR(($AD86/(1+$L86)-($AD86*$O86+IF($AD86&lt;=15000,1000,IF($AD86&lt;=25000,2000,IF($AD86&lt;=33000,2400,0)))+N($N86))/(1+Datos!$B$2)-$AD86*Datos!$C$2-$C86)/($AD86/(1+$L86)),"Error"))</f>
        <v/>
      </c>
      <c r="AH86" s="61" t="str">
        <f aca="false">IF(N($AD86)=0,"",IFERROR($AD86/(1+$L86)*(1-$AF86)-($AD86*$O86+IF($AD86&lt;=15000,1000,IF($AD86&lt;=25000,2000,IF($AD86&lt;=33000,2400,0)))+N($N86))/(1+Datos!$B$2)-$AD86*Datos!$C$2,"Error"))</f>
        <v/>
      </c>
      <c r="AI86" s="61" t="str">
        <f aca="false">IF($AH86="","",IFERROR($AH86*(1+$D86),"Error"))</f>
        <v/>
      </c>
      <c r="AJ86" s="60" t="str">
        <f aca="false">IF($AH86="","",IFERROR($C86/$AH86-1,"Error"))</f>
        <v/>
      </c>
      <c r="AK86" s="63" t="str">
        <f aca="false">IF($AH86="","",IFERROR(IF($C86&lt;=$AH86,"OK a ese precio","Bajar costo"),"Error"))</f>
        <v/>
      </c>
    </row>
    <row r="87" customFormat="false" ht="15" hidden="false" customHeight="false" outlineLevel="0" collapsed="false">
      <c r="E87" s="0" t="str">
        <f aca="false">IF($C87="","",$C87*(1+$D87))</f>
        <v/>
      </c>
      <c r="J87" s="57"/>
      <c r="K87" s="57"/>
      <c r="L87" s="58"/>
      <c r="M87" s="59"/>
      <c r="N87" s="59"/>
      <c r="O87" s="60" t="str">
        <f aca="false">IF($M87="","",IFERROR(IF($K87="Clásica",VLOOKUP("Argentina"&amp;$J87,Datos!$C:$D,2,0),VLOOKUP("Argentina"&amp;$J87,Datos!$C:$D,2,0)+VLOOKUP("Argentina"&amp;$K87,Datos!$H:$I,2,0)),"Error"))</f>
        <v/>
      </c>
      <c r="P87" s="61" t="str">
        <f aca="false">IF($M87="","",IFERROR(-$M87*$O87,"Error"))</f>
        <v/>
      </c>
      <c r="Q87" s="61" t="str">
        <f aca="false">IF($M87="","",IFERROR(-($P87-$P87/(1+Datos!$B$2)),"Error"))</f>
        <v/>
      </c>
      <c r="R87" s="61" t="str">
        <f aca="false">IF($M87="","",IF($M87&lt;=15000,-1000,IF($M87&lt;=25000,-2000,IF($M87&lt;=33000,-2400,0))))</f>
        <v/>
      </c>
      <c r="S87" s="61" t="str">
        <f aca="false">IF($M87="","",-($R87-$R87/(1+Datos!$B$2)))</f>
        <v/>
      </c>
      <c r="T87" s="61" t="str">
        <f aca="false">IF($M87="","",-$M87/(1+$L87)*$L87)</f>
        <v/>
      </c>
      <c r="U87" s="61" t="str">
        <f aca="false">IF($M87="","",$C87*$D87)</f>
        <v/>
      </c>
      <c r="V87" s="61" t="str">
        <f aca="false">IF($M87="","",-N($N87))</f>
        <v/>
      </c>
      <c r="W87" s="61" t="str">
        <f aca="false">IF($M87="","",-($V87-$V87/(1+Datos!$B$2)))</f>
        <v/>
      </c>
      <c r="X87" s="61" t="str">
        <f aca="false">IF($M87="","",-$M87*Datos!$C$2)</f>
        <v/>
      </c>
      <c r="Y87" s="61" t="str">
        <f aca="false">IF($M87="","",IFERROR($M87+$U87+$T87+$P87+$Q87+$R87+$S87+$V87+$W87+$X87,"Error"))</f>
        <v/>
      </c>
      <c r="Z87" s="61" t="str">
        <f aca="false">IF($M87="","",IFERROR($Y87-$E87,"Error"))</f>
        <v/>
      </c>
      <c r="AA87" s="60" t="str">
        <f aca="false">IF($M87="","",IFERROR($Z87/($M87+$T87),"Error"))</f>
        <v/>
      </c>
      <c r="AB87" s="62" t="str">
        <f aca="false">IF($M87="","",IFERROR($M87/$E87,"Error"))</f>
        <v/>
      </c>
      <c r="AD87" s="59"/>
      <c r="AE87" s="57"/>
      <c r="AF87" s="58"/>
      <c r="AG87" s="60" t="str">
        <f aca="false">IF(N($AD87)=0,"",IFERROR(($AD87/(1+$L87)-($AD87*$O87+IF($AD87&lt;=15000,1000,IF($AD87&lt;=25000,2000,IF($AD87&lt;=33000,2400,0)))+N($N87))/(1+Datos!$B$2)-$AD87*Datos!$C$2-$C87)/($AD87/(1+$L87)),"Error"))</f>
        <v/>
      </c>
      <c r="AH87" s="61" t="str">
        <f aca="false">IF(N($AD87)=0,"",IFERROR($AD87/(1+$L87)*(1-$AF87)-($AD87*$O87+IF($AD87&lt;=15000,1000,IF($AD87&lt;=25000,2000,IF($AD87&lt;=33000,2400,0)))+N($N87))/(1+Datos!$B$2)-$AD87*Datos!$C$2,"Error"))</f>
        <v/>
      </c>
      <c r="AI87" s="61" t="str">
        <f aca="false">IF($AH87="","",IFERROR($AH87*(1+$D87),"Error"))</f>
        <v/>
      </c>
      <c r="AJ87" s="60" t="str">
        <f aca="false">IF($AH87="","",IFERROR($C87/$AH87-1,"Error"))</f>
        <v/>
      </c>
      <c r="AK87" s="63" t="str">
        <f aca="false">IF($AH87="","",IFERROR(IF($C87&lt;=$AH87,"OK a ese precio","Bajar costo"),"Error"))</f>
        <v/>
      </c>
    </row>
    <row r="88" customFormat="false" ht="15" hidden="false" customHeight="false" outlineLevel="0" collapsed="false">
      <c r="E88" s="0" t="str">
        <f aca="false">IF($C88="","",$C88*(1+$D88))</f>
        <v/>
      </c>
      <c r="J88" s="57"/>
      <c r="K88" s="57"/>
      <c r="L88" s="58"/>
      <c r="M88" s="59"/>
      <c r="N88" s="59"/>
      <c r="O88" s="60" t="str">
        <f aca="false">IF($M88="","",IFERROR(IF($K88="Clásica",VLOOKUP("Argentina"&amp;$J88,Datos!$C:$D,2,0),VLOOKUP("Argentina"&amp;$J88,Datos!$C:$D,2,0)+VLOOKUP("Argentina"&amp;$K88,Datos!$H:$I,2,0)),"Error"))</f>
        <v/>
      </c>
      <c r="P88" s="61" t="str">
        <f aca="false">IF($M88="","",IFERROR(-$M88*$O88,"Error"))</f>
        <v/>
      </c>
      <c r="Q88" s="61" t="str">
        <f aca="false">IF($M88="","",IFERROR(-($P88-$P88/(1+Datos!$B$2)),"Error"))</f>
        <v/>
      </c>
      <c r="R88" s="61" t="str">
        <f aca="false">IF($M88="","",IF($M88&lt;=15000,-1000,IF($M88&lt;=25000,-2000,IF($M88&lt;=33000,-2400,0))))</f>
        <v/>
      </c>
      <c r="S88" s="61" t="str">
        <f aca="false">IF($M88="","",-($R88-$R88/(1+Datos!$B$2)))</f>
        <v/>
      </c>
      <c r="T88" s="61" t="str">
        <f aca="false">IF($M88="","",-$M88/(1+$L88)*$L88)</f>
        <v/>
      </c>
      <c r="U88" s="61" t="str">
        <f aca="false">IF($M88="","",$C88*$D88)</f>
        <v/>
      </c>
      <c r="V88" s="61" t="str">
        <f aca="false">IF($M88="","",-N($N88))</f>
        <v/>
      </c>
      <c r="W88" s="61" t="str">
        <f aca="false">IF($M88="","",-($V88-$V88/(1+Datos!$B$2)))</f>
        <v/>
      </c>
      <c r="X88" s="61" t="str">
        <f aca="false">IF($M88="","",-$M88*Datos!$C$2)</f>
        <v/>
      </c>
      <c r="Y88" s="61" t="str">
        <f aca="false">IF($M88="","",IFERROR($M88+$U88+$T88+$P88+$Q88+$R88+$S88+$V88+$W88+$X88,"Error"))</f>
        <v/>
      </c>
      <c r="Z88" s="61" t="str">
        <f aca="false">IF($M88="","",IFERROR($Y88-$E88,"Error"))</f>
        <v/>
      </c>
      <c r="AA88" s="60" t="str">
        <f aca="false">IF($M88="","",IFERROR($Z88/($M88+$T88),"Error"))</f>
        <v/>
      </c>
      <c r="AB88" s="62" t="str">
        <f aca="false">IF($M88="","",IFERROR($M88/$E88,"Error"))</f>
        <v/>
      </c>
      <c r="AD88" s="59"/>
      <c r="AE88" s="57"/>
      <c r="AF88" s="58"/>
      <c r="AG88" s="60" t="str">
        <f aca="false">IF(N($AD88)=0,"",IFERROR(($AD88/(1+$L88)-($AD88*$O88+IF($AD88&lt;=15000,1000,IF($AD88&lt;=25000,2000,IF($AD88&lt;=33000,2400,0)))+N($N88))/(1+Datos!$B$2)-$AD88*Datos!$C$2-$C88)/($AD88/(1+$L88)),"Error"))</f>
        <v/>
      </c>
      <c r="AH88" s="61" t="str">
        <f aca="false">IF(N($AD88)=0,"",IFERROR($AD88/(1+$L88)*(1-$AF88)-($AD88*$O88+IF($AD88&lt;=15000,1000,IF($AD88&lt;=25000,2000,IF($AD88&lt;=33000,2400,0)))+N($N88))/(1+Datos!$B$2)-$AD88*Datos!$C$2,"Error"))</f>
        <v/>
      </c>
      <c r="AI88" s="61" t="str">
        <f aca="false">IF($AH88="","",IFERROR($AH88*(1+$D88),"Error"))</f>
        <v/>
      </c>
      <c r="AJ88" s="60" t="str">
        <f aca="false">IF($AH88="","",IFERROR($C88/$AH88-1,"Error"))</f>
        <v/>
      </c>
      <c r="AK88" s="63" t="str">
        <f aca="false">IF($AH88="","",IFERROR(IF($C88&lt;=$AH88,"OK a ese precio","Bajar costo"),"Error"))</f>
        <v/>
      </c>
    </row>
    <row r="89" customFormat="false" ht="15" hidden="false" customHeight="false" outlineLevel="0" collapsed="false">
      <c r="E89" s="0" t="str">
        <f aca="false">IF($C89="","",$C89*(1+$D89))</f>
        <v/>
      </c>
      <c r="J89" s="57"/>
      <c r="K89" s="57"/>
      <c r="L89" s="58"/>
      <c r="M89" s="59"/>
      <c r="N89" s="59"/>
      <c r="O89" s="60" t="str">
        <f aca="false">IF($M89="","",IFERROR(IF($K89="Clásica",VLOOKUP("Argentina"&amp;$J89,Datos!$C:$D,2,0),VLOOKUP("Argentina"&amp;$J89,Datos!$C:$D,2,0)+VLOOKUP("Argentina"&amp;$K89,Datos!$H:$I,2,0)),"Error"))</f>
        <v/>
      </c>
      <c r="P89" s="61" t="str">
        <f aca="false">IF($M89="","",IFERROR(-$M89*$O89,"Error"))</f>
        <v/>
      </c>
      <c r="Q89" s="61" t="str">
        <f aca="false">IF($M89="","",IFERROR(-($P89-$P89/(1+Datos!$B$2)),"Error"))</f>
        <v/>
      </c>
      <c r="R89" s="61" t="str">
        <f aca="false">IF($M89="","",IF($M89&lt;=15000,-1000,IF($M89&lt;=25000,-2000,IF($M89&lt;=33000,-2400,0))))</f>
        <v/>
      </c>
      <c r="S89" s="61" t="str">
        <f aca="false">IF($M89="","",-($R89-$R89/(1+Datos!$B$2)))</f>
        <v/>
      </c>
      <c r="T89" s="61" t="str">
        <f aca="false">IF($M89="","",-$M89/(1+$L89)*$L89)</f>
        <v/>
      </c>
      <c r="U89" s="61" t="str">
        <f aca="false">IF($M89="","",$C89*$D89)</f>
        <v/>
      </c>
      <c r="V89" s="61" t="str">
        <f aca="false">IF($M89="","",-N($N89))</f>
        <v/>
      </c>
      <c r="W89" s="61" t="str">
        <f aca="false">IF($M89="","",-($V89-$V89/(1+Datos!$B$2)))</f>
        <v/>
      </c>
      <c r="X89" s="61" t="str">
        <f aca="false">IF($M89="","",-$M89*Datos!$C$2)</f>
        <v/>
      </c>
      <c r="Y89" s="61" t="str">
        <f aca="false">IF($M89="","",IFERROR($M89+$U89+$T89+$P89+$Q89+$R89+$S89+$V89+$W89+$X89,"Error"))</f>
        <v/>
      </c>
      <c r="Z89" s="61" t="str">
        <f aca="false">IF($M89="","",IFERROR($Y89-$E89,"Error"))</f>
        <v/>
      </c>
      <c r="AA89" s="60" t="str">
        <f aca="false">IF($M89="","",IFERROR($Z89/($M89+$T89),"Error"))</f>
        <v/>
      </c>
      <c r="AB89" s="62" t="str">
        <f aca="false">IF($M89="","",IFERROR($M89/$E89,"Error"))</f>
        <v/>
      </c>
      <c r="AD89" s="59"/>
      <c r="AE89" s="57"/>
      <c r="AF89" s="58"/>
      <c r="AG89" s="60" t="str">
        <f aca="false">IF(N($AD89)=0,"",IFERROR(($AD89/(1+$L89)-($AD89*$O89+IF($AD89&lt;=15000,1000,IF($AD89&lt;=25000,2000,IF($AD89&lt;=33000,2400,0)))+N($N89))/(1+Datos!$B$2)-$AD89*Datos!$C$2-$C89)/($AD89/(1+$L89)),"Error"))</f>
        <v/>
      </c>
      <c r="AH89" s="61" t="str">
        <f aca="false">IF(N($AD89)=0,"",IFERROR($AD89/(1+$L89)*(1-$AF89)-($AD89*$O89+IF($AD89&lt;=15000,1000,IF($AD89&lt;=25000,2000,IF($AD89&lt;=33000,2400,0)))+N($N89))/(1+Datos!$B$2)-$AD89*Datos!$C$2,"Error"))</f>
        <v/>
      </c>
      <c r="AI89" s="61" t="str">
        <f aca="false">IF($AH89="","",IFERROR($AH89*(1+$D89),"Error"))</f>
        <v/>
      </c>
      <c r="AJ89" s="60" t="str">
        <f aca="false">IF($AH89="","",IFERROR($C89/$AH89-1,"Error"))</f>
        <v/>
      </c>
      <c r="AK89" s="63" t="str">
        <f aca="false">IF($AH89="","",IFERROR(IF($C89&lt;=$AH89,"OK a ese precio","Bajar costo"),"Error"))</f>
        <v/>
      </c>
    </row>
    <row r="90" customFormat="false" ht="15" hidden="false" customHeight="false" outlineLevel="0" collapsed="false">
      <c r="E90" s="0" t="str">
        <f aca="false">IF($C90="","",$C90*(1+$D90))</f>
        <v/>
      </c>
      <c r="J90" s="57"/>
      <c r="K90" s="57"/>
      <c r="L90" s="58"/>
      <c r="M90" s="59"/>
      <c r="N90" s="59"/>
      <c r="O90" s="60" t="str">
        <f aca="false">IF($M90="","",IFERROR(IF($K90="Clásica",VLOOKUP("Argentina"&amp;$J90,Datos!$C:$D,2,0),VLOOKUP("Argentina"&amp;$J90,Datos!$C:$D,2,0)+VLOOKUP("Argentina"&amp;$K90,Datos!$H:$I,2,0)),"Error"))</f>
        <v/>
      </c>
      <c r="P90" s="61" t="str">
        <f aca="false">IF($M90="","",IFERROR(-$M90*$O90,"Error"))</f>
        <v/>
      </c>
      <c r="Q90" s="61" t="str">
        <f aca="false">IF($M90="","",IFERROR(-($P90-$P90/(1+Datos!$B$2)),"Error"))</f>
        <v/>
      </c>
      <c r="R90" s="61" t="str">
        <f aca="false">IF($M90="","",IF($M90&lt;=15000,-1000,IF($M90&lt;=25000,-2000,IF($M90&lt;=33000,-2400,0))))</f>
        <v/>
      </c>
      <c r="S90" s="61" t="str">
        <f aca="false">IF($M90="","",-($R90-$R90/(1+Datos!$B$2)))</f>
        <v/>
      </c>
      <c r="T90" s="61" t="str">
        <f aca="false">IF($M90="","",-$M90/(1+$L90)*$L90)</f>
        <v/>
      </c>
      <c r="U90" s="61" t="str">
        <f aca="false">IF($M90="","",$C90*$D90)</f>
        <v/>
      </c>
      <c r="V90" s="61" t="str">
        <f aca="false">IF($M90="","",-N($N90))</f>
        <v/>
      </c>
      <c r="W90" s="61" t="str">
        <f aca="false">IF($M90="","",-($V90-$V90/(1+Datos!$B$2)))</f>
        <v/>
      </c>
      <c r="X90" s="61" t="str">
        <f aca="false">IF($M90="","",-$M90*Datos!$C$2)</f>
        <v/>
      </c>
      <c r="Y90" s="61" t="str">
        <f aca="false">IF($M90="","",IFERROR($M90+$U90+$T90+$P90+$Q90+$R90+$S90+$V90+$W90+$X90,"Error"))</f>
        <v/>
      </c>
      <c r="Z90" s="61" t="str">
        <f aca="false">IF($M90="","",IFERROR($Y90-$E90,"Error"))</f>
        <v/>
      </c>
      <c r="AA90" s="60" t="str">
        <f aca="false">IF($M90="","",IFERROR($Z90/($M90+$T90),"Error"))</f>
        <v/>
      </c>
      <c r="AB90" s="62" t="str">
        <f aca="false">IF($M90="","",IFERROR($M90/$E90,"Error"))</f>
        <v/>
      </c>
      <c r="AD90" s="59"/>
      <c r="AE90" s="57"/>
      <c r="AF90" s="58"/>
      <c r="AG90" s="60" t="str">
        <f aca="false">IF(N($AD90)=0,"",IFERROR(($AD90/(1+$L90)-($AD90*$O90+IF($AD90&lt;=15000,1000,IF($AD90&lt;=25000,2000,IF($AD90&lt;=33000,2400,0)))+N($N90))/(1+Datos!$B$2)-$AD90*Datos!$C$2-$C90)/($AD90/(1+$L90)),"Error"))</f>
        <v/>
      </c>
      <c r="AH90" s="61" t="str">
        <f aca="false">IF(N($AD90)=0,"",IFERROR($AD90/(1+$L90)*(1-$AF90)-($AD90*$O90+IF($AD90&lt;=15000,1000,IF($AD90&lt;=25000,2000,IF($AD90&lt;=33000,2400,0)))+N($N90))/(1+Datos!$B$2)-$AD90*Datos!$C$2,"Error"))</f>
        <v/>
      </c>
      <c r="AI90" s="61" t="str">
        <f aca="false">IF($AH90="","",IFERROR($AH90*(1+$D90),"Error"))</f>
        <v/>
      </c>
      <c r="AJ90" s="60" t="str">
        <f aca="false">IF($AH90="","",IFERROR($C90/$AH90-1,"Error"))</f>
        <v/>
      </c>
      <c r="AK90" s="63" t="str">
        <f aca="false">IF($AH90="","",IFERROR(IF($C90&lt;=$AH90,"OK a ese precio","Bajar costo"),"Error"))</f>
        <v/>
      </c>
    </row>
    <row r="91" customFormat="false" ht="15" hidden="false" customHeight="false" outlineLevel="0" collapsed="false">
      <c r="E91" s="0" t="str">
        <f aca="false">IF($C91="","",$C91*(1+$D91))</f>
        <v/>
      </c>
      <c r="J91" s="57"/>
      <c r="K91" s="57"/>
      <c r="L91" s="58"/>
      <c r="M91" s="59"/>
      <c r="N91" s="59"/>
      <c r="O91" s="60" t="str">
        <f aca="false">IF($M91="","",IFERROR(IF($K91="Clásica",VLOOKUP("Argentina"&amp;$J91,Datos!$C:$D,2,0),VLOOKUP("Argentina"&amp;$J91,Datos!$C:$D,2,0)+VLOOKUP("Argentina"&amp;$K91,Datos!$H:$I,2,0)),"Error"))</f>
        <v/>
      </c>
      <c r="P91" s="61" t="str">
        <f aca="false">IF($M91="","",IFERROR(-$M91*$O91,"Error"))</f>
        <v/>
      </c>
      <c r="Q91" s="61" t="str">
        <f aca="false">IF($M91="","",IFERROR(-($P91-$P91/(1+Datos!$B$2)),"Error"))</f>
        <v/>
      </c>
      <c r="R91" s="61" t="str">
        <f aca="false">IF($M91="","",IF($M91&lt;=15000,-1000,IF($M91&lt;=25000,-2000,IF($M91&lt;=33000,-2400,0))))</f>
        <v/>
      </c>
      <c r="S91" s="61" t="str">
        <f aca="false">IF($M91="","",-($R91-$R91/(1+Datos!$B$2)))</f>
        <v/>
      </c>
      <c r="T91" s="61" t="str">
        <f aca="false">IF($M91="","",-$M91/(1+$L91)*$L91)</f>
        <v/>
      </c>
      <c r="U91" s="61" t="str">
        <f aca="false">IF($M91="","",$C91*$D91)</f>
        <v/>
      </c>
      <c r="V91" s="61" t="str">
        <f aca="false">IF($M91="","",-N($N91))</f>
        <v/>
      </c>
      <c r="W91" s="61" t="str">
        <f aca="false">IF($M91="","",-($V91-$V91/(1+Datos!$B$2)))</f>
        <v/>
      </c>
      <c r="X91" s="61" t="str">
        <f aca="false">IF($M91="","",-$M91*Datos!$C$2)</f>
        <v/>
      </c>
      <c r="Y91" s="61" t="str">
        <f aca="false">IF($M91="","",IFERROR($M91+$U91+$T91+$P91+$Q91+$R91+$S91+$V91+$W91+$X91,"Error"))</f>
        <v/>
      </c>
      <c r="Z91" s="61" t="str">
        <f aca="false">IF($M91="","",IFERROR($Y91-$E91,"Error"))</f>
        <v/>
      </c>
      <c r="AA91" s="60" t="str">
        <f aca="false">IF($M91="","",IFERROR($Z91/($M91+$T91),"Error"))</f>
        <v/>
      </c>
      <c r="AB91" s="62" t="str">
        <f aca="false">IF($M91="","",IFERROR($M91/$E91,"Error"))</f>
        <v/>
      </c>
      <c r="AD91" s="59"/>
      <c r="AE91" s="57"/>
      <c r="AF91" s="58"/>
      <c r="AG91" s="60" t="str">
        <f aca="false">IF(N($AD91)=0,"",IFERROR(($AD91/(1+$L91)-($AD91*$O91+IF($AD91&lt;=15000,1000,IF($AD91&lt;=25000,2000,IF($AD91&lt;=33000,2400,0)))+N($N91))/(1+Datos!$B$2)-$AD91*Datos!$C$2-$C91)/($AD91/(1+$L91)),"Error"))</f>
        <v/>
      </c>
      <c r="AH91" s="61" t="str">
        <f aca="false">IF(N($AD91)=0,"",IFERROR($AD91/(1+$L91)*(1-$AF91)-($AD91*$O91+IF($AD91&lt;=15000,1000,IF($AD91&lt;=25000,2000,IF($AD91&lt;=33000,2400,0)))+N($N91))/(1+Datos!$B$2)-$AD91*Datos!$C$2,"Error"))</f>
        <v/>
      </c>
      <c r="AI91" s="61" t="str">
        <f aca="false">IF($AH91="","",IFERROR($AH91*(1+$D91),"Error"))</f>
        <v/>
      </c>
      <c r="AJ91" s="60" t="str">
        <f aca="false">IF($AH91="","",IFERROR($C91/$AH91-1,"Error"))</f>
        <v/>
      </c>
      <c r="AK91" s="63" t="str">
        <f aca="false">IF($AH91="","",IFERROR(IF($C91&lt;=$AH91,"OK a ese precio","Bajar costo"),"Error"))</f>
        <v/>
      </c>
    </row>
    <row r="92" customFormat="false" ht="15" hidden="false" customHeight="false" outlineLevel="0" collapsed="false">
      <c r="E92" s="0" t="str">
        <f aca="false">IF($C92="","",$C92*(1+$D92))</f>
        <v/>
      </c>
      <c r="J92" s="57"/>
      <c r="K92" s="57"/>
      <c r="L92" s="58"/>
      <c r="M92" s="59"/>
      <c r="N92" s="59"/>
      <c r="O92" s="60" t="str">
        <f aca="false">IF($M92="","",IFERROR(IF($K92="Clásica",VLOOKUP("Argentina"&amp;$J92,Datos!$C:$D,2,0),VLOOKUP("Argentina"&amp;$J92,Datos!$C:$D,2,0)+VLOOKUP("Argentina"&amp;$K92,Datos!$H:$I,2,0)),"Error"))</f>
        <v/>
      </c>
      <c r="P92" s="61" t="str">
        <f aca="false">IF($M92="","",IFERROR(-$M92*$O92,"Error"))</f>
        <v/>
      </c>
      <c r="Q92" s="61" t="str">
        <f aca="false">IF($M92="","",IFERROR(-($P92-$P92/(1+Datos!$B$2)),"Error"))</f>
        <v/>
      </c>
      <c r="R92" s="61" t="str">
        <f aca="false">IF($M92="","",IF($M92&lt;=15000,-1000,IF($M92&lt;=25000,-2000,IF($M92&lt;=33000,-2400,0))))</f>
        <v/>
      </c>
      <c r="S92" s="61" t="str">
        <f aca="false">IF($M92="","",-($R92-$R92/(1+Datos!$B$2)))</f>
        <v/>
      </c>
      <c r="T92" s="61" t="str">
        <f aca="false">IF($M92="","",-$M92/(1+$L92)*$L92)</f>
        <v/>
      </c>
      <c r="U92" s="61" t="str">
        <f aca="false">IF($M92="","",$C92*$D92)</f>
        <v/>
      </c>
      <c r="V92" s="61" t="str">
        <f aca="false">IF($M92="","",-N($N92))</f>
        <v/>
      </c>
      <c r="W92" s="61" t="str">
        <f aca="false">IF($M92="","",-($V92-$V92/(1+Datos!$B$2)))</f>
        <v/>
      </c>
      <c r="X92" s="61" t="str">
        <f aca="false">IF($M92="","",-$M92*Datos!$C$2)</f>
        <v/>
      </c>
      <c r="Y92" s="61" t="str">
        <f aca="false">IF($M92="","",IFERROR($M92+$U92+$T92+$P92+$Q92+$R92+$S92+$V92+$W92+$X92,"Error"))</f>
        <v/>
      </c>
      <c r="Z92" s="61" t="str">
        <f aca="false">IF($M92="","",IFERROR($Y92-$E92,"Error"))</f>
        <v/>
      </c>
      <c r="AA92" s="60" t="str">
        <f aca="false">IF($M92="","",IFERROR($Z92/($M92+$T92),"Error"))</f>
        <v/>
      </c>
      <c r="AB92" s="62" t="str">
        <f aca="false">IF($M92="","",IFERROR($M92/$E92,"Error"))</f>
        <v/>
      </c>
      <c r="AD92" s="59"/>
      <c r="AE92" s="57"/>
      <c r="AF92" s="58"/>
      <c r="AG92" s="60" t="str">
        <f aca="false">IF(N($AD92)=0,"",IFERROR(($AD92/(1+$L92)-($AD92*$O92+IF($AD92&lt;=15000,1000,IF($AD92&lt;=25000,2000,IF($AD92&lt;=33000,2400,0)))+N($N92))/(1+Datos!$B$2)-$AD92*Datos!$C$2-$C92)/($AD92/(1+$L92)),"Error"))</f>
        <v/>
      </c>
      <c r="AH92" s="61" t="str">
        <f aca="false">IF(N($AD92)=0,"",IFERROR($AD92/(1+$L92)*(1-$AF92)-($AD92*$O92+IF($AD92&lt;=15000,1000,IF($AD92&lt;=25000,2000,IF($AD92&lt;=33000,2400,0)))+N($N92))/(1+Datos!$B$2)-$AD92*Datos!$C$2,"Error"))</f>
        <v/>
      </c>
      <c r="AI92" s="61" t="str">
        <f aca="false">IF($AH92="","",IFERROR($AH92*(1+$D92),"Error"))</f>
        <v/>
      </c>
      <c r="AJ92" s="60" t="str">
        <f aca="false">IF($AH92="","",IFERROR($C92/$AH92-1,"Error"))</f>
        <v/>
      </c>
      <c r="AK92" s="63" t="str">
        <f aca="false">IF($AH92="","",IFERROR(IF($C92&lt;=$AH92,"OK a ese precio","Bajar costo"),"Error"))</f>
        <v/>
      </c>
    </row>
    <row r="93" customFormat="false" ht="15" hidden="false" customHeight="false" outlineLevel="0" collapsed="false">
      <c r="E93" s="0" t="str">
        <f aca="false">IF($C93="","",$C93*(1+$D93))</f>
        <v/>
      </c>
      <c r="J93" s="57"/>
      <c r="K93" s="57"/>
      <c r="L93" s="58"/>
      <c r="M93" s="59"/>
      <c r="N93" s="59"/>
      <c r="O93" s="60" t="str">
        <f aca="false">IF($M93="","",IFERROR(IF($K93="Clásica",VLOOKUP("Argentina"&amp;$J93,Datos!$C:$D,2,0),VLOOKUP("Argentina"&amp;$J93,Datos!$C:$D,2,0)+VLOOKUP("Argentina"&amp;$K93,Datos!$H:$I,2,0)),"Error"))</f>
        <v/>
      </c>
      <c r="P93" s="61" t="str">
        <f aca="false">IF($M93="","",IFERROR(-$M93*$O93,"Error"))</f>
        <v/>
      </c>
      <c r="Q93" s="61" t="str">
        <f aca="false">IF($M93="","",IFERROR(-($P93-$P93/(1+Datos!$B$2)),"Error"))</f>
        <v/>
      </c>
      <c r="R93" s="61" t="str">
        <f aca="false">IF($M93="","",IF($M93&lt;=15000,-1000,IF($M93&lt;=25000,-2000,IF($M93&lt;=33000,-2400,0))))</f>
        <v/>
      </c>
      <c r="S93" s="61" t="str">
        <f aca="false">IF($M93="","",-($R93-$R93/(1+Datos!$B$2)))</f>
        <v/>
      </c>
      <c r="T93" s="61" t="str">
        <f aca="false">IF($M93="","",-$M93/(1+$L93)*$L93)</f>
        <v/>
      </c>
      <c r="U93" s="61" t="str">
        <f aca="false">IF($M93="","",$C93*$D93)</f>
        <v/>
      </c>
      <c r="V93" s="61" t="str">
        <f aca="false">IF($M93="","",-N($N93))</f>
        <v/>
      </c>
      <c r="W93" s="61" t="str">
        <f aca="false">IF($M93="","",-($V93-$V93/(1+Datos!$B$2)))</f>
        <v/>
      </c>
      <c r="X93" s="61" t="str">
        <f aca="false">IF($M93="","",-$M93*Datos!$C$2)</f>
        <v/>
      </c>
      <c r="Y93" s="61" t="str">
        <f aca="false">IF($M93="","",IFERROR($M93+$U93+$T93+$P93+$Q93+$R93+$S93+$V93+$W93+$X93,"Error"))</f>
        <v/>
      </c>
      <c r="Z93" s="61" t="str">
        <f aca="false">IF($M93="","",IFERROR($Y93-$E93,"Error"))</f>
        <v/>
      </c>
      <c r="AA93" s="60" t="str">
        <f aca="false">IF($M93="","",IFERROR($Z93/($M93+$T93),"Error"))</f>
        <v/>
      </c>
      <c r="AB93" s="62" t="str">
        <f aca="false">IF($M93="","",IFERROR($M93/$E93,"Error"))</f>
        <v/>
      </c>
      <c r="AD93" s="59"/>
      <c r="AE93" s="57"/>
      <c r="AF93" s="58"/>
      <c r="AG93" s="60" t="str">
        <f aca="false">IF(N($AD93)=0,"",IFERROR(($AD93/(1+$L93)-($AD93*$O93+IF($AD93&lt;=15000,1000,IF($AD93&lt;=25000,2000,IF($AD93&lt;=33000,2400,0)))+N($N93))/(1+Datos!$B$2)-$AD93*Datos!$C$2-$C93)/($AD93/(1+$L93)),"Error"))</f>
        <v/>
      </c>
      <c r="AH93" s="61" t="str">
        <f aca="false">IF(N($AD93)=0,"",IFERROR($AD93/(1+$L93)*(1-$AF93)-($AD93*$O93+IF($AD93&lt;=15000,1000,IF($AD93&lt;=25000,2000,IF($AD93&lt;=33000,2400,0)))+N($N93))/(1+Datos!$B$2)-$AD93*Datos!$C$2,"Error"))</f>
        <v/>
      </c>
      <c r="AI93" s="61" t="str">
        <f aca="false">IF($AH93="","",IFERROR($AH93*(1+$D93),"Error"))</f>
        <v/>
      </c>
      <c r="AJ93" s="60" t="str">
        <f aca="false">IF($AH93="","",IFERROR($C93/$AH93-1,"Error"))</f>
        <v/>
      </c>
      <c r="AK93" s="63" t="str">
        <f aca="false">IF($AH93="","",IFERROR(IF($C93&lt;=$AH93,"OK a ese precio","Bajar costo"),"Error"))</f>
        <v/>
      </c>
    </row>
    <row r="94" customFormat="false" ht="15" hidden="false" customHeight="false" outlineLevel="0" collapsed="false">
      <c r="E94" s="0" t="str">
        <f aca="false">IF($C94="","",$C94*(1+$D94))</f>
        <v/>
      </c>
      <c r="J94" s="57"/>
      <c r="K94" s="57"/>
      <c r="L94" s="58"/>
      <c r="M94" s="59"/>
      <c r="N94" s="59"/>
      <c r="O94" s="60" t="str">
        <f aca="false">IF($M94="","",IFERROR(IF($K94="Clásica",VLOOKUP("Argentina"&amp;$J94,Datos!$C:$D,2,0),VLOOKUP("Argentina"&amp;$J94,Datos!$C:$D,2,0)+VLOOKUP("Argentina"&amp;$K94,Datos!$H:$I,2,0)),"Error"))</f>
        <v/>
      </c>
      <c r="P94" s="61" t="str">
        <f aca="false">IF($M94="","",IFERROR(-$M94*$O94,"Error"))</f>
        <v/>
      </c>
      <c r="Q94" s="61" t="str">
        <f aca="false">IF($M94="","",IFERROR(-($P94-$P94/(1+Datos!$B$2)),"Error"))</f>
        <v/>
      </c>
      <c r="R94" s="61" t="str">
        <f aca="false">IF($M94="","",IF($M94&lt;=15000,-1000,IF($M94&lt;=25000,-2000,IF($M94&lt;=33000,-2400,0))))</f>
        <v/>
      </c>
      <c r="S94" s="61" t="str">
        <f aca="false">IF($M94="","",-($R94-$R94/(1+Datos!$B$2)))</f>
        <v/>
      </c>
      <c r="T94" s="61" t="str">
        <f aca="false">IF($M94="","",-$M94/(1+$L94)*$L94)</f>
        <v/>
      </c>
      <c r="U94" s="61" t="str">
        <f aca="false">IF($M94="","",$C94*$D94)</f>
        <v/>
      </c>
      <c r="V94" s="61" t="str">
        <f aca="false">IF($M94="","",-N($N94))</f>
        <v/>
      </c>
      <c r="W94" s="61" t="str">
        <f aca="false">IF($M94="","",-($V94-$V94/(1+Datos!$B$2)))</f>
        <v/>
      </c>
      <c r="X94" s="61" t="str">
        <f aca="false">IF($M94="","",-$M94*Datos!$C$2)</f>
        <v/>
      </c>
      <c r="Y94" s="61" t="str">
        <f aca="false">IF($M94="","",IFERROR($M94+$U94+$T94+$P94+$Q94+$R94+$S94+$V94+$W94+$X94,"Error"))</f>
        <v/>
      </c>
      <c r="Z94" s="61" t="str">
        <f aca="false">IF($M94="","",IFERROR($Y94-$E94,"Error"))</f>
        <v/>
      </c>
      <c r="AA94" s="60" t="str">
        <f aca="false">IF($M94="","",IFERROR($Z94/($M94+$T94),"Error"))</f>
        <v/>
      </c>
      <c r="AB94" s="62" t="str">
        <f aca="false">IF($M94="","",IFERROR($M94/$E94,"Error"))</f>
        <v/>
      </c>
      <c r="AD94" s="59"/>
      <c r="AE94" s="57"/>
      <c r="AF94" s="58"/>
      <c r="AG94" s="60" t="str">
        <f aca="false">IF(N($AD94)=0,"",IFERROR(($AD94/(1+$L94)-($AD94*$O94+IF($AD94&lt;=15000,1000,IF($AD94&lt;=25000,2000,IF($AD94&lt;=33000,2400,0)))+N($N94))/(1+Datos!$B$2)-$AD94*Datos!$C$2-$C94)/($AD94/(1+$L94)),"Error"))</f>
        <v/>
      </c>
      <c r="AH94" s="61" t="str">
        <f aca="false">IF(N($AD94)=0,"",IFERROR($AD94/(1+$L94)*(1-$AF94)-($AD94*$O94+IF($AD94&lt;=15000,1000,IF($AD94&lt;=25000,2000,IF($AD94&lt;=33000,2400,0)))+N($N94))/(1+Datos!$B$2)-$AD94*Datos!$C$2,"Error"))</f>
        <v/>
      </c>
      <c r="AI94" s="61" t="str">
        <f aca="false">IF($AH94="","",IFERROR($AH94*(1+$D94),"Error"))</f>
        <v/>
      </c>
      <c r="AJ94" s="60" t="str">
        <f aca="false">IF($AH94="","",IFERROR($C94/$AH94-1,"Error"))</f>
        <v/>
      </c>
      <c r="AK94" s="63" t="str">
        <f aca="false">IF($AH94="","",IFERROR(IF($C94&lt;=$AH94,"OK a ese precio","Bajar costo"),"Error"))</f>
        <v/>
      </c>
    </row>
    <row r="95" customFormat="false" ht="15" hidden="false" customHeight="false" outlineLevel="0" collapsed="false">
      <c r="E95" s="0" t="str">
        <f aca="false">IF($C95="","",$C95*(1+$D95))</f>
        <v/>
      </c>
      <c r="J95" s="57"/>
      <c r="K95" s="57"/>
      <c r="L95" s="58"/>
      <c r="M95" s="59"/>
      <c r="N95" s="59"/>
      <c r="O95" s="60" t="str">
        <f aca="false">IF($M95="","",IFERROR(IF($K95="Clásica",VLOOKUP("Argentina"&amp;$J95,Datos!$C:$D,2,0),VLOOKUP("Argentina"&amp;$J95,Datos!$C:$D,2,0)+VLOOKUP("Argentina"&amp;$K95,Datos!$H:$I,2,0)),"Error"))</f>
        <v/>
      </c>
      <c r="P95" s="61" t="str">
        <f aca="false">IF($M95="","",IFERROR(-$M95*$O95,"Error"))</f>
        <v/>
      </c>
      <c r="Q95" s="61" t="str">
        <f aca="false">IF($M95="","",IFERROR(-($P95-$P95/(1+Datos!$B$2)),"Error"))</f>
        <v/>
      </c>
      <c r="R95" s="61" t="str">
        <f aca="false">IF($M95="","",IF($M95&lt;=15000,-1000,IF($M95&lt;=25000,-2000,IF($M95&lt;=33000,-2400,0))))</f>
        <v/>
      </c>
      <c r="S95" s="61" t="str">
        <f aca="false">IF($M95="","",-($R95-$R95/(1+Datos!$B$2)))</f>
        <v/>
      </c>
      <c r="T95" s="61" t="str">
        <f aca="false">IF($M95="","",-$M95/(1+$L95)*$L95)</f>
        <v/>
      </c>
      <c r="U95" s="61" t="str">
        <f aca="false">IF($M95="","",$C95*$D95)</f>
        <v/>
      </c>
      <c r="V95" s="61" t="str">
        <f aca="false">IF($M95="","",-N($N95))</f>
        <v/>
      </c>
      <c r="W95" s="61" t="str">
        <f aca="false">IF($M95="","",-($V95-$V95/(1+Datos!$B$2)))</f>
        <v/>
      </c>
      <c r="X95" s="61" t="str">
        <f aca="false">IF($M95="","",-$M95*Datos!$C$2)</f>
        <v/>
      </c>
      <c r="Y95" s="61" t="str">
        <f aca="false">IF($M95="","",IFERROR($M95+$U95+$T95+$P95+$Q95+$R95+$S95+$V95+$W95+$X95,"Error"))</f>
        <v/>
      </c>
      <c r="Z95" s="61" t="str">
        <f aca="false">IF($M95="","",IFERROR($Y95-$E95,"Error"))</f>
        <v/>
      </c>
      <c r="AA95" s="60" t="str">
        <f aca="false">IF($M95="","",IFERROR($Z95/($M95+$T95),"Error"))</f>
        <v/>
      </c>
      <c r="AB95" s="62" t="str">
        <f aca="false">IF($M95="","",IFERROR($M95/$E95,"Error"))</f>
        <v/>
      </c>
      <c r="AD95" s="59"/>
      <c r="AE95" s="57"/>
      <c r="AF95" s="58"/>
      <c r="AG95" s="60" t="str">
        <f aca="false">IF(N($AD95)=0,"",IFERROR(($AD95/(1+$L95)-($AD95*$O95+IF($AD95&lt;=15000,1000,IF($AD95&lt;=25000,2000,IF($AD95&lt;=33000,2400,0)))+N($N95))/(1+Datos!$B$2)-$AD95*Datos!$C$2-$C95)/($AD95/(1+$L95)),"Error"))</f>
        <v/>
      </c>
      <c r="AH95" s="61" t="str">
        <f aca="false">IF(N($AD95)=0,"",IFERROR($AD95/(1+$L95)*(1-$AF95)-($AD95*$O95+IF($AD95&lt;=15000,1000,IF($AD95&lt;=25000,2000,IF($AD95&lt;=33000,2400,0)))+N($N95))/(1+Datos!$B$2)-$AD95*Datos!$C$2,"Error"))</f>
        <v/>
      </c>
      <c r="AI95" s="61" t="str">
        <f aca="false">IF($AH95="","",IFERROR($AH95*(1+$D95),"Error"))</f>
        <v/>
      </c>
      <c r="AJ95" s="60" t="str">
        <f aca="false">IF($AH95="","",IFERROR($C95/$AH95-1,"Error"))</f>
        <v/>
      </c>
      <c r="AK95" s="63" t="str">
        <f aca="false">IF($AH95="","",IFERROR(IF($C95&lt;=$AH95,"OK a ese precio","Bajar costo"),"Error"))</f>
        <v/>
      </c>
    </row>
    <row r="96" customFormat="false" ht="15" hidden="false" customHeight="false" outlineLevel="0" collapsed="false">
      <c r="E96" s="0" t="str">
        <f aca="false">IF($C96="","",$C96*(1+$D96))</f>
        <v/>
      </c>
      <c r="J96" s="57"/>
      <c r="K96" s="57"/>
      <c r="L96" s="58"/>
      <c r="M96" s="59"/>
      <c r="N96" s="59"/>
      <c r="O96" s="60" t="str">
        <f aca="false">IF($M96="","",IFERROR(IF($K96="Clásica",VLOOKUP("Argentina"&amp;$J96,Datos!$C:$D,2,0),VLOOKUP("Argentina"&amp;$J96,Datos!$C:$D,2,0)+VLOOKUP("Argentina"&amp;$K96,Datos!$H:$I,2,0)),"Error"))</f>
        <v/>
      </c>
      <c r="P96" s="61" t="str">
        <f aca="false">IF($M96="","",IFERROR(-$M96*$O96,"Error"))</f>
        <v/>
      </c>
      <c r="Q96" s="61" t="str">
        <f aca="false">IF($M96="","",IFERROR(-($P96-$P96/(1+Datos!$B$2)),"Error"))</f>
        <v/>
      </c>
      <c r="R96" s="61" t="str">
        <f aca="false">IF($M96="","",IF($M96&lt;=15000,-1000,IF($M96&lt;=25000,-2000,IF($M96&lt;=33000,-2400,0))))</f>
        <v/>
      </c>
      <c r="S96" s="61" t="str">
        <f aca="false">IF($M96="","",-($R96-$R96/(1+Datos!$B$2)))</f>
        <v/>
      </c>
      <c r="T96" s="61" t="str">
        <f aca="false">IF($M96="","",-$M96/(1+$L96)*$L96)</f>
        <v/>
      </c>
      <c r="U96" s="61" t="str">
        <f aca="false">IF($M96="","",$C96*$D96)</f>
        <v/>
      </c>
      <c r="V96" s="61" t="str">
        <f aca="false">IF($M96="","",-N($N96))</f>
        <v/>
      </c>
      <c r="W96" s="61" t="str">
        <f aca="false">IF($M96="","",-($V96-$V96/(1+Datos!$B$2)))</f>
        <v/>
      </c>
      <c r="X96" s="61" t="str">
        <f aca="false">IF($M96="","",-$M96*Datos!$C$2)</f>
        <v/>
      </c>
      <c r="Y96" s="61" t="str">
        <f aca="false">IF($M96="","",IFERROR($M96+$U96+$T96+$P96+$Q96+$R96+$S96+$V96+$W96+$X96,"Error"))</f>
        <v/>
      </c>
      <c r="Z96" s="61" t="str">
        <f aca="false">IF($M96="","",IFERROR($Y96-$E96,"Error"))</f>
        <v/>
      </c>
      <c r="AA96" s="60" t="str">
        <f aca="false">IF($M96="","",IFERROR($Z96/($M96+$T96),"Error"))</f>
        <v/>
      </c>
      <c r="AB96" s="62" t="str">
        <f aca="false">IF($M96="","",IFERROR($M96/$E96,"Error"))</f>
        <v/>
      </c>
      <c r="AD96" s="59"/>
      <c r="AE96" s="57"/>
      <c r="AF96" s="58"/>
      <c r="AG96" s="60" t="str">
        <f aca="false">IF(N($AD96)=0,"",IFERROR(($AD96/(1+$L96)-($AD96*$O96+IF($AD96&lt;=15000,1000,IF($AD96&lt;=25000,2000,IF($AD96&lt;=33000,2400,0)))+N($N96))/(1+Datos!$B$2)-$AD96*Datos!$C$2-$C96)/($AD96/(1+$L96)),"Error"))</f>
        <v/>
      </c>
      <c r="AH96" s="61" t="str">
        <f aca="false">IF(N($AD96)=0,"",IFERROR($AD96/(1+$L96)*(1-$AF96)-($AD96*$O96+IF($AD96&lt;=15000,1000,IF($AD96&lt;=25000,2000,IF($AD96&lt;=33000,2400,0)))+N($N96))/(1+Datos!$B$2)-$AD96*Datos!$C$2,"Error"))</f>
        <v/>
      </c>
      <c r="AI96" s="61" t="str">
        <f aca="false">IF($AH96="","",IFERROR($AH96*(1+$D96),"Error"))</f>
        <v/>
      </c>
      <c r="AJ96" s="60" t="str">
        <f aca="false">IF($AH96="","",IFERROR($C96/$AH96-1,"Error"))</f>
        <v/>
      </c>
      <c r="AK96" s="63" t="str">
        <f aca="false">IF($AH96="","",IFERROR(IF($C96&lt;=$AH96,"OK a ese precio","Bajar costo"),"Error"))</f>
        <v/>
      </c>
    </row>
    <row r="97" customFormat="false" ht="15" hidden="false" customHeight="false" outlineLevel="0" collapsed="false">
      <c r="E97" s="0" t="str">
        <f aca="false">IF($C97="","",$C97*(1+$D97))</f>
        <v/>
      </c>
      <c r="J97" s="57"/>
      <c r="K97" s="57"/>
      <c r="L97" s="58"/>
      <c r="M97" s="59"/>
      <c r="N97" s="59"/>
      <c r="O97" s="60" t="str">
        <f aca="false">IF($M97="","",IFERROR(IF($K97="Clásica",VLOOKUP("Argentina"&amp;$J97,Datos!$C:$D,2,0),VLOOKUP("Argentina"&amp;$J97,Datos!$C:$D,2,0)+VLOOKUP("Argentina"&amp;$K97,Datos!$H:$I,2,0)),"Error"))</f>
        <v/>
      </c>
      <c r="P97" s="61" t="str">
        <f aca="false">IF($M97="","",IFERROR(-$M97*$O97,"Error"))</f>
        <v/>
      </c>
      <c r="Q97" s="61" t="str">
        <f aca="false">IF($M97="","",IFERROR(-($P97-$P97/(1+Datos!$B$2)),"Error"))</f>
        <v/>
      </c>
      <c r="R97" s="61" t="str">
        <f aca="false">IF($M97="","",IF($M97&lt;=15000,-1000,IF($M97&lt;=25000,-2000,IF($M97&lt;=33000,-2400,0))))</f>
        <v/>
      </c>
      <c r="S97" s="61" t="str">
        <f aca="false">IF($M97="","",-($R97-$R97/(1+Datos!$B$2)))</f>
        <v/>
      </c>
      <c r="T97" s="61" t="str">
        <f aca="false">IF($M97="","",-$M97/(1+$L97)*$L97)</f>
        <v/>
      </c>
      <c r="U97" s="61" t="str">
        <f aca="false">IF($M97="","",$C97*$D97)</f>
        <v/>
      </c>
      <c r="V97" s="61" t="str">
        <f aca="false">IF($M97="","",-N($N97))</f>
        <v/>
      </c>
      <c r="W97" s="61" t="str">
        <f aca="false">IF($M97="","",-($V97-$V97/(1+Datos!$B$2)))</f>
        <v/>
      </c>
      <c r="X97" s="61" t="str">
        <f aca="false">IF($M97="","",-$M97*Datos!$C$2)</f>
        <v/>
      </c>
      <c r="Y97" s="61" t="str">
        <f aca="false">IF($M97="","",IFERROR($M97+$U97+$T97+$P97+$Q97+$R97+$S97+$V97+$W97+$X97,"Error"))</f>
        <v/>
      </c>
      <c r="Z97" s="61" t="str">
        <f aca="false">IF($M97="","",IFERROR($Y97-$E97,"Error"))</f>
        <v/>
      </c>
      <c r="AA97" s="60" t="str">
        <f aca="false">IF($M97="","",IFERROR($Z97/($M97+$T97),"Error"))</f>
        <v/>
      </c>
      <c r="AB97" s="62" t="str">
        <f aca="false">IF($M97="","",IFERROR($M97/$E97,"Error"))</f>
        <v/>
      </c>
      <c r="AD97" s="59"/>
      <c r="AE97" s="57"/>
      <c r="AF97" s="58"/>
      <c r="AG97" s="60" t="str">
        <f aca="false">IF(N($AD97)=0,"",IFERROR(($AD97/(1+$L97)-($AD97*$O97+IF($AD97&lt;=15000,1000,IF($AD97&lt;=25000,2000,IF($AD97&lt;=33000,2400,0)))+N($N97))/(1+Datos!$B$2)-$AD97*Datos!$C$2-$C97)/($AD97/(1+$L97)),"Error"))</f>
        <v/>
      </c>
      <c r="AH97" s="61" t="str">
        <f aca="false">IF(N($AD97)=0,"",IFERROR($AD97/(1+$L97)*(1-$AF97)-($AD97*$O97+IF($AD97&lt;=15000,1000,IF($AD97&lt;=25000,2000,IF($AD97&lt;=33000,2400,0)))+N($N97))/(1+Datos!$B$2)-$AD97*Datos!$C$2,"Error"))</f>
        <v/>
      </c>
      <c r="AI97" s="61" t="str">
        <f aca="false">IF($AH97="","",IFERROR($AH97*(1+$D97),"Error"))</f>
        <v/>
      </c>
      <c r="AJ97" s="60" t="str">
        <f aca="false">IF($AH97="","",IFERROR($C97/$AH97-1,"Error"))</f>
        <v/>
      </c>
      <c r="AK97" s="63" t="str">
        <f aca="false">IF($AH97="","",IFERROR(IF($C97&lt;=$AH97,"OK a ese precio","Bajar costo"),"Error"))</f>
        <v/>
      </c>
    </row>
    <row r="98" customFormat="false" ht="15" hidden="false" customHeight="false" outlineLevel="0" collapsed="false">
      <c r="E98" s="0" t="str">
        <f aca="false">IF($C98="","",$C98*(1+$D98))</f>
        <v/>
      </c>
      <c r="J98" s="57"/>
      <c r="K98" s="57"/>
      <c r="L98" s="58"/>
      <c r="M98" s="59"/>
      <c r="N98" s="59"/>
      <c r="O98" s="60" t="str">
        <f aca="false">IF($M98="","",IFERROR(IF($K98="Clásica",VLOOKUP("Argentina"&amp;$J98,Datos!$C:$D,2,0),VLOOKUP("Argentina"&amp;$J98,Datos!$C:$D,2,0)+VLOOKUP("Argentina"&amp;$K98,Datos!$H:$I,2,0)),"Error"))</f>
        <v/>
      </c>
      <c r="P98" s="61" t="str">
        <f aca="false">IF($M98="","",IFERROR(-$M98*$O98,"Error"))</f>
        <v/>
      </c>
      <c r="Q98" s="61" t="str">
        <f aca="false">IF($M98="","",IFERROR(-($P98-$P98/(1+Datos!$B$2)),"Error"))</f>
        <v/>
      </c>
      <c r="R98" s="61" t="str">
        <f aca="false">IF($M98="","",IF($M98&lt;=15000,-1000,IF($M98&lt;=25000,-2000,IF($M98&lt;=33000,-2400,0))))</f>
        <v/>
      </c>
      <c r="S98" s="61" t="str">
        <f aca="false">IF($M98="","",-($R98-$R98/(1+Datos!$B$2)))</f>
        <v/>
      </c>
      <c r="T98" s="61" t="str">
        <f aca="false">IF($M98="","",-$M98/(1+$L98)*$L98)</f>
        <v/>
      </c>
      <c r="U98" s="61" t="str">
        <f aca="false">IF($M98="","",$C98*$D98)</f>
        <v/>
      </c>
      <c r="V98" s="61" t="str">
        <f aca="false">IF($M98="","",-N($N98))</f>
        <v/>
      </c>
      <c r="W98" s="61" t="str">
        <f aca="false">IF($M98="","",-($V98-$V98/(1+Datos!$B$2)))</f>
        <v/>
      </c>
      <c r="X98" s="61" t="str">
        <f aca="false">IF($M98="","",-$M98*Datos!$C$2)</f>
        <v/>
      </c>
      <c r="Y98" s="61" t="str">
        <f aca="false">IF($M98="","",IFERROR($M98+$U98+$T98+$P98+$Q98+$R98+$S98+$V98+$W98+$X98,"Error"))</f>
        <v/>
      </c>
      <c r="Z98" s="61" t="str">
        <f aca="false">IF($M98="","",IFERROR($Y98-$E98,"Error"))</f>
        <v/>
      </c>
      <c r="AA98" s="60" t="str">
        <f aca="false">IF($M98="","",IFERROR($Z98/($M98+$T98),"Error"))</f>
        <v/>
      </c>
      <c r="AB98" s="62" t="str">
        <f aca="false">IF($M98="","",IFERROR($M98/$E98,"Error"))</f>
        <v/>
      </c>
      <c r="AD98" s="59"/>
      <c r="AE98" s="57"/>
      <c r="AF98" s="58"/>
      <c r="AG98" s="60" t="str">
        <f aca="false">IF(N($AD98)=0,"",IFERROR(($AD98/(1+$L98)-($AD98*$O98+IF($AD98&lt;=15000,1000,IF($AD98&lt;=25000,2000,IF($AD98&lt;=33000,2400,0)))+N($N98))/(1+Datos!$B$2)-$AD98*Datos!$C$2-$C98)/($AD98/(1+$L98)),"Error"))</f>
        <v/>
      </c>
      <c r="AH98" s="61" t="str">
        <f aca="false">IF(N($AD98)=0,"",IFERROR($AD98/(1+$L98)*(1-$AF98)-($AD98*$O98+IF($AD98&lt;=15000,1000,IF($AD98&lt;=25000,2000,IF($AD98&lt;=33000,2400,0)))+N($N98))/(1+Datos!$B$2)-$AD98*Datos!$C$2,"Error"))</f>
        <v/>
      </c>
      <c r="AI98" s="61" t="str">
        <f aca="false">IF($AH98="","",IFERROR($AH98*(1+$D98),"Error"))</f>
        <v/>
      </c>
      <c r="AJ98" s="60" t="str">
        <f aca="false">IF($AH98="","",IFERROR($C98/$AH98-1,"Error"))</f>
        <v/>
      </c>
      <c r="AK98" s="63" t="str">
        <f aca="false">IF($AH98="","",IFERROR(IF($C98&lt;=$AH98,"OK a ese precio","Bajar costo"),"Error"))</f>
        <v/>
      </c>
    </row>
    <row r="99" customFormat="false" ht="15" hidden="false" customHeight="false" outlineLevel="0" collapsed="false">
      <c r="E99" s="0" t="str">
        <f aca="false">IF($C99="","",$C99*(1+$D99))</f>
        <v/>
      </c>
      <c r="J99" s="57"/>
      <c r="K99" s="57"/>
      <c r="L99" s="58"/>
      <c r="M99" s="59"/>
      <c r="N99" s="59"/>
      <c r="O99" s="60" t="str">
        <f aca="false">IF($M99="","",IFERROR(IF($K99="Clásica",VLOOKUP("Argentina"&amp;$J99,Datos!$C:$D,2,0),VLOOKUP("Argentina"&amp;$J99,Datos!$C:$D,2,0)+VLOOKUP("Argentina"&amp;$K99,Datos!$H:$I,2,0)),"Error"))</f>
        <v/>
      </c>
      <c r="P99" s="61" t="str">
        <f aca="false">IF($M99="","",IFERROR(-$M99*$O99,"Error"))</f>
        <v/>
      </c>
      <c r="Q99" s="61" t="str">
        <f aca="false">IF($M99="","",IFERROR(-($P99-$P99/(1+Datos!$B$2)),"Error"))</f>
        <v/>
      </c>
      <c r="R99" s="61" t="str">
        <f aca="false">IF($M99="","",IF($M99&lt;=15000,-1000,IF($M99&lt;=25000,-2000,IF($M99&lt;=33000,-2400,0))))</f>
        <v/>
      </c>
      <c r="S99" s="61" t="str">
        <f aca="false">IF($M99="","",-($R99-$R99/(1+Datos!$B$2)))</f>
        <v/>
      </c>
      <c r="T99" s="61" t="str">
        <f aca="false">IF($M99="","",-$M99/(1+$L99)*$L99)</f>
        <v/>
      </c>
      <c r="U99" s="61" t="str">
        <f aca="false">IF($M99="","",$C99*$D99)</f>
        <v/>
      </c>
      <c r="V99" s="61" t="str">
        <f aca="false">IF($M99="","",-N($N99))</f>
        <v/>
      </c>
      <c r="W99" s="61" t="str">
        <f aca="false">IF($M99="","",-($V99-$V99/(1+Datos!$B$2)))</f>
        <v/>
      </c>
      <c r="X99" s="61" t="str">
        <f aca="false">IF($M99="","",-$M99*Datos!$C$2)</f>
        <v/>
      </c>
      <c r="Y99" s="61" t="str">
        <f aca="false">IF($M99="","",IFERROR($M99+$U99+$T99+$P99+$Q99+$R99+$S99+$V99+$W99+$X99,"Error"))</f>
        <v/>
      </c>
      <c r="Z99" s="61" t="str">
        <f aca="false">IF($M99="","",IFERROR($Y99-$E99,"Error"))</f>
        <v/>
      </c>
      <c r="AA99" s="60" t="str">
        <f aca="false">IF($M99="","",IFERROR($Z99/($M99+$T99),"Error"))</f>
        <v/>
      </c>
      <c r="AB99" s="62" t="str">
        <f aca="false">IF($M99="","",IFERROR($M99/$E99,"Error"))</f>
        <v/>
      </c>
      <c r="AD99" s="59"/>
      <c r="AE99" s="57"/>
      <c r="AF99" s="58"/>
      <c r="AG99" s="60" t="str">
        <f aca="false">IF(N($AD99)=0,"",IFERROR(($AD99/(1+$L99)-($AD99*$O99+IF($AD99&lt;=15000,1000,IF($AD99&lt;=25000,2000,IF($AD99&lt;=33000,2400,0)))+N($N99))/(1+Datos!$B$2)-$AD99*Datos!$C$2-$C99)/($AD99/(1+$L99)),"Error"))</f>
        <v/>
      </c>
      <c r="AH99" s="61" t="str">
        <f aca="false">IF(N($AD99)=0,"",IFERROR($AD99/(1+$L99)*(1-$AF99)-($AD99*$O99+IF($AD99&lt;=15000,1000,IF($AD99&lt;=25000,2000,IF($AD99&lt;=33000,2400,0)))+N($N99))/(1+Datos!$B$2)-$AD99*Datos!$C$2,"Error"))</f>
        <v/>
      </c>
      <c r="AI99" s="61" t="str">
        <f aca="false">IF($AH99="","",IFERROR($AH99*(1+$D99),"Error"))</f>
        <v/>
      </c>
      <c r="AJ99" s="60" t="str">
        <f aca="false">IF($AH99="","",IFERROR($C99/$AH99-1,"Error"))</f>
        <v/>
      </c>
      <c r="AK99" s="63" t="str">
        <f aca="false">IF($AH99="","",IFERROR(IF($C99&lt;=$AH99,"OK a ese precio","Bajar costo"),"Error"))</f>
        <v/>
      </c>
    </row>
    <row r="100" customFormat="false" ht="15" hidden="false" customHeight="false" outlineLevel="0" collapsed="false">
      <c r="E100" s="0" t="str">
        <f aca="false">IF($C100="","",$C100*(1+$D100))</f>
        <v/>
      </c>
      <c r="J100" s="57"/>
      <c r="K100" s="57"/>
      <c r="L100" s="58"/>
      <c r="M100" s="59"/>
      <c r="N100" s="59"/>
      <c r="O100" s="60" t="str">
        <f aca="false">IF($M100="","",IFERROR(IF($K100="Clásica",VLOOKUP("Argentina"&amp;$J100,Datos!$C:$D,2,0),VLOOKUP("Argentina"&amp;$J100,Datos!$C:$D,2,0)+VLOOKUP("Argentina"&amp;$K100,Datos!$H:$I,2,0)),"Error"))</f>
        <v/>
      </c>
      <c r="P100" s="61" t="str">
        <f aca="false">IF($M100="","",IFERROR(-$M100*$O100,"Error"))</f>
        <v/>
      </c>
      <c r="Q100" s="61" t="str">
        <f aca="false">IF($M100="","",IFERROR(-($P100-$P100/(1+Datos!$B$2)),"Error"))</f>
        <v/>
      </c>
      <c r="R100" s="61" t="str">
        <f aca="false">IF($M100="","",IF($M100&lt;=15000,-1000,IF($M100&lt;=25000,-2000,IF($M100&lt;=33000,-2400,0))))</f>
        <v/>
      </c>
      <c r="S100" s="61" t="str">
        <f aca="false">IF($M100="","",-($R100-$R100/(1+Datos!$B$2)))</f>
        <v/>
      </c>
      <c r="T100" s="61" t="str">
        <f aca="false">IF($M100="","",-$M100/(1+$L100)*$L100)</f>
        <v/>
      </c>
      <c r="U100" s="61" t="str">
        <f aca="false">IF($M100="","",$C100*$D100)</f>
        <v/>
      </c>
      <c r="V100" s="61" t="str">
        <f aca="false">IF($M100="","",-N($N100))</f>
        <v/>
      </c>
      <c r="W100" s="61" t="str">
        <f aca="false">IF($M100="","",-($V100-$V100/(1+Datos!$B$2)))</f>
        <v/>
      </c>
      <c r="X100" s="61" t="str">
        <f aca="false">IF($M100="","",-$M100*Datos!$C$2)</f>
        <v/>
      </c>
      <c r="Y100" s="61" t="str">
        <f aca="false">IF($M100="","",IFERROR($M100+$U100+$T100+$P100+$Q100+$R100+$S100+$V100+$W100+$X100,"Error"))</f>
        <v/>
      </c>
      <c r="Z100" s="61" t="str">
        <f aca="false">IF($M100="","",IFERROR($Y100-$E100,"Error"))</f>
        <v/>
      </c>
      <c r="AA100" s="60" t="str">
        <f aca="false">IF($M100="","",IFERROR($Z100/($M100+$T100),"Error"))</f>
        <v/>
      </c>
      <c r="AB100" s="62" t="str">
        <f aca="false">IF($M100="","",IFERROR($M100/$E100,"Error"))</f>
        <v/>
      </c>
      <c r="AD100" s="59"/>
      <c r="AE100" s="57"/>
      <c r="AF100" s="58"/>
      <c r="AG100" s="60" t="str">
        <f aca="false">IF(N($AD100)=0,"",IFERROR(($AD100/(1+$L100)-($AD100*$O100+IF($AD100&lt;=15000,1000,IF($AD100&lt;=25000,2000,IF($AD100&lt;=33000,2400,0)))+N($N100))/(1+Datos!$B$2)-$AD100*Datos!$C$2-$C100)/($AD100/(1+$L100)),"Error"))</f>
        <v/>
      </c>
      <c r="AH100" s="61" t="str">
        <f aca="false">IF(N($AD100)=0,"",IFERROR($AD100/(1+$L100)*(1-$AF100)-($AD100*$O100+IF($AD100&lt;=15000,1000,IF($AD100&lt;=25000,2000,IF($AD100&lt;=33000,2400,0)))+N($N100))/(1+Datos!$B$2)-$AD100*Datos!$C$2,"Error"))</f>
        <v/>
      </c>
      <c r="AI100" s="61" t="str">
        <f aca="false">IF($AH100="","",IFERROR($AH100*(1+$D100),"Error"))</f>
        <v/>
      </c>
      <c r="AJ100" s="60" t="str">
        <f aca="false">IF($AH100="","",IFERROR($C100/$AH100-1,"Error"))</f>
        <v/>
      </c>
      <c r="AK100" s="63" t="str">
        <f aca="false">IF($AH100="","",IFERROR(IF($C100&lt;=$AH100,"OK a ese precio","Bajar costo"),"Error"))</f>
        <v/>
      </c>
    </row>
    <row r="101" customFormat="false" ht="15" hidden="false" customHeight="false" outlineLevel="0" collapsed="false">
      <c r="E101" s="0" t="str">
        <f aca="false">IF($C101="","",$C101*(1+$D101))</f>
        <v/>
      </c>
      <c r="J101" s="57"/>
      <c r="K101" s="57"/>
      <c r="L101" s="58"/>
      <c r="M101" s="59"/>
      <c r="N101" s="59"/>
      <c r="O101" s="60" t="str">
        <f aca="false">IF($M101="","",IFERROR(IF($K101="Clásica",VLOOKUP("Argentina"&amp;$J101,Datos!$C:$D,2,0),VLOOKUP("Argentina"&amp;$J101,Datos!$C:$D,2,0)+VLOOKUP("Argentina"&amp;$K101,Datos!$H:$I,2,0)),"Error"))</f>
        <v/>
      </c>
      <c r="P101" s="61" t="str">
        <f aca="false">IF($M101="","",IFERROR(-$M101*$O101,"Error"))</f>
        <v/>
      </c>
      <c r="Q101" s="61" t="str">
        <f aca="false">IF($M101="","",IFERROR(-($P101-$P101/(1+Datos!$B$2)),"Error"))</f>
        <v/>
      </c>
      <c r="R101" s="61" t="str">
        <f aca="false">IF($M101="","",IF($M101&lt;=15000,-1000,IF($M101&lt;=25000,-2000,IF($M101&lt;=33000,-2400,0))))</f>
        <v/>
      </c>
      <c r="S101" s="61" t="str">
        <f aca="false">IF($M101="","",-($R101-$R101/(1+Datos!$B$2)))</f>
        <v/>
      </c>
      <c r="T101" s="61" t="str">
        <f aca="false">IF($M101="","",-$M101/(1+$L101)*$L101)</f>
        <v/>
      </c>
      <c r="U101" s="61" t="str">
        <f aca="false">IF($M101="","",$C101*$D101)</f>
        <v/>
      </c>
      <c r="V101" s="61" t="str">
        <f aca="false">IF($M101="","",-N($N101))</f>
        <v/>
      </c>
      <c r="W101" s="61" t="str">
        <f aca="false">IF($M101="","",-($V101-$V101/(1+Datos!$B$2)))</f>
        <v/>
      </c>
      <c r="X101" s="61" t="str">
        <f aca="false">IF($M101="","",-$M101*Datos!$C$2)</f>
        <v/>
      </c>
      <c r="Y101" s="61" t="str">
        <f aca="false">IF($M101="","",IFERROR($M101+$U101+$T101+$P101+$Q101+$R101+$S101+$V101+$W101+$X101,"Error"))</f>
        <v/>
      </c>
      <c r="Z101" s="61" t="str">
        <f aca="false">IF($M101="","",IFERROR($Y101-$E101,"Error"))</f>
        <v/>
      </c>
      <c r="AA101" s="60" t="str">
        <f aca="false">IF($M101="","",IFERROR($Z101/($M101+$T101),"Error"))</f>
        <v/>
      </c>
      <c r="AB101" s="62" t="str">
        <f aca="false">IF($M101="","",IFERROR($M101/$E101,"Error"))</f>
        <v/>
      </c>
      <c r="AD101" s="59"/>
      <c r="AE101" s="57"/>
      <c r="AF101" s="58"/>
      <c r="AG101" s="60" t="str">
        <f aca="false">IF(N($AD101)=0,"",IFERROR(($AD101/(1+$L101)-($AD101*$O101+IF($AD101&lt;=15000,1000,IF($AD101&lt;=25000,2000,IF($AD101&lt;=33000,2400,0)))+N($N101))/(1+Datos!$B$2)-$AD101*Datos!$C$2-$C101)/($AD101/(1+$L101)),"Error"))</f>
        <v/>
      </c>
      <c r="AH101" s="61" t="str">
        <f aca="false">IF(N($AD101)=0,"",IFERROR($AD101/(1+$L101)*(1-$AF101)-($AD101*$O101+IF($AD101&lt;=15000,1000,IF($AD101&lt;=25000,2000,IF($AD101&lt;=33000,2400,0)))+N($N101))/(1+Datos!$B$2)-$AD101*Datos!$C$2,"Error"))</f>
        <v/>
      </c>
      <c r="AI101" s="61" t="str">
        <f aca="false">IF($AH101="","",IFERROR($AH101*(1+$D101),"Error"))</f>
        <v/>
      </c>
      <c r="AJ101" s="60" t="str">
        <f aca="false">IF($AH101="","",IFERROR($C101/$AH101-1,"Error"))</f>
        <v/>
      </c>
      <c r="AK101" s="63" t="str">
        <f aca="false">IF($AH101="","",IFERROR(IF($C101&lt;=$AH101,"OK a ese precio","Bajar costo"),"Error"))</f>
        <v/>
      </c>
    </row>
    <row r="102" customFormat="false" ht="15" hidden="false" customHeight="false" outlineLevel="0" collapsed="false">
      <c r="E102" s="0" t="str">
        <f aca="false">IF($C102="","",$C102*(1+$D102))</f>
        <v/>
      </c>
      <c r="J102" s="57"/>
      <c r="K102" s="57"/>
      <c r="L102" s="58"/>
      <c r="M102" s="59"/>
      <c r="N102" s="59"/>
      <c r="O102" s="60" t="str">
        <f aca="false">IF($M102="","",IFERROR(IF($K102="Clásica",VLOOKUP("Argentina"&amp;$J102,Datos!$C:$D,2,0),VLOOKUP("Argentina"&amp;$J102,Datos!$C:$D,2,0)+VLOOKUP("Argentina"&amp;$K102,Datos!$H:$I,2,0)),"Error"))</f>
        <v/>
      </c>
      <c r="P102" s="61" t="str">
        <f aca="false">IF($M102="","",IFERROR(-$M102*$O102,"Error"))</f>
        <v/>
      </c>
      <c r="Q102" s="61" t="str">
        <f aca="false">IF($M102="","",IFERROR(-($P102-$P102/(1+Datos!$B$2)),"Error"))</f>
        <v/>
      </c>
      <c r="R102" s="61" t="str">
        <f aca="false">IF($M102="","",IF($M102&lt;=15000,-1000,IF($M102&lt;=25000,-2000,IF($M102&lt;=33000,-2400,0))))</f>
        <v/>
      </c>
      <c r="S102" s="61" t="str">
        <f aca="false">IF($M102="","",-($R102-$R102/(1+Datos!$B$2)))</f>
        <v/>
      </c>
      <c r="T102" s="61" t="str">
        <f aca="false">IF($M102="","",-$M102/(1+$L102)*$L102)</f>
        <v/>
      </c>
      <c r="U102" s="61" t="str">
        <f aca="false">IF($M102="","",$C102*$D102)</f>
        <v/>
      </c>
      <c r="V102" s="61" t="str">
        <f aca="false">IF($M102="","",-N($N102))</f>
        <v/>
      </c>
      <c r="W102" s="61" t="str">
        <f aca="false">IF($M102="","",-($V102-$V102/(1+Datos!$B$2)))</f>
        <v/>
      </c>
      <c r="X102" s="61" t="str">
        <f aca="false">IF($M102="","",-$M102*Datos!$C$2)</f>
        <v/>
      </c>
      <c r="Y102" s="61" t="str">
        <f aca="false">IF($M102="","",IFERROR($M102+$U102+$T102+$P102+$Q102+$R102+$S102+$V102+$W102+$X102,"Error"))</f>
        <v/>
      </c>
      <c r="Z102" s="61" t="str">
        <f aca="false">IF($M102="","",IFERROR($Y102-$E102,"Error"))</f>
        <v/>
      </c>
      <c r="AA102" s="60" t="str">
        <f aca="false">IF($M102="","",IFERROR($Z102/($M102+$T102),"Error"))</f>
        <v/>
      </c>
      <c r="AB102" s="62" t="str">
        <f aca="false">IF($M102="","",IFERROR($M102/$E102,"Error"))</f>
        <v/>
      </c>
      <c r="AD102" s="59"/>
      <c r="AE102" s="57"/>
      <c r="AF102" s="58"/>
      <c r="AG102" s="60" t="str">
        <f aca="false">IF(N($AD102)=0,"",IFERROR(($AD102/(1+$L102)-($AD102*$O102+IF($AD102&lt;=15000,1000,IF($AD102&lt;=25000,2000,IF($AD102&lt;=33000,2400,0)))+N($N102))/(1+Datos!$B$2)-$AD102*Datos!$C$2-$C102)/($AD102/(1+$L102)),"Error"))</f>
        <v/>
      </c>
      <c r="AH102" s="61" t="str">
        <f aca="false">IF(N($AD102)=0,"",IFERROR($AD102/(1+$L102)*(1-$AF102)-($AD102*$O102+IF($AD102&lt;=15000,1000,IF($AD102&lt;=25000,2000,IF($AD102&lt;=33000,2400,0)))+N($N102))/(1+Datos!$B$2)-$AD102*Datos!$C$2,"Error"))</f>
        <v/>
      </c>
      <c r="AI102" s="61" t="str">
        <f aca="false">IF($AH102="","",IFERROR($AH102*(1+$D102),"Error"))</f>
        <v/>
      </c>
      <c r="AJ102" s="60" t="str">
        <f aca="false">IF($AH102="","",IFERROR($C102/$AH102-1,"Error"))</f>
        <v/>
      </c>
      <c r="AK102" s="63" t="str">
        <f aca="false">IF($AH102="","",IFERROR(IF($C102&lt;=$AH102,"OK a ese precio","Bajar costo"),"Error"))</f>
        <v/>
      </c>
    </row>
    <row r="103" customFormat="false" ht="15" hidden="false" customHeight="false" outlineLevel="0" collapsed="false">
      <c r="E103" s="0" t="str">
        <f aca="false">IF($C103="","",$C103*(1+$D103))</f>
        <v/>
      </c>
      <c r="J103" s="57"/>
      <c r="K103" s="57"/>
      <c r="L103" s="58"/>
      <c r="M103" s="59"/>
      <c r="N103" s="59"/>
      <c r="O103" s="60" t="str">
        <f aca="false">IF($M103="","",IFERROR(IF($K103="Clásica",VLOOKUP("Argentina"&amp;$J103,Datos!$C:$D,2,0),VLOOKUP("Argentina"&amp;$J103,Datos!$C:$D,2,0)+VLOOKUP("Argentina"&amp;$K103,Datos!$H:$I,2,0)),"Error"))</f>
        <v/>
      </c>
      <c r="P103" s="61" t="str">
        <f aca="false">IF($M103="","",IFERROR(-$M103*$O103,"Error"))</f>
        <v/>
      </c>
      <c r="Q103" s="61" t="str">
        <f aca="false">IF($M103="","",IFERROR(-($P103-$P103/(1+Datos!$B$2)),"Error"))</f>
        <v/>
      </c>
      <c r="R103" s="61" t="str">
        <f aca="false">IF($M103="","",IF($M103&lt;=15000,-1000,IF($M103&lt;=25000,-2000,IF($M103&lt;=33000,-2400,0))))</f>
        <v/>
      </c>
      <c r="S103" s="61" t="str">
        <f aca="false">IF($M103="","",-($R103-$R103/(1+Datos!$B$2)))</f>
        <v/>
      </c>
      <c r="T103" s="61" t="str">
        <f aca="false">IF($M103="","",-$M103/(1+$L103)*$L103)</f>
        <v/>
      </c>
      <c r="U103" s="61" t="str">
        <f aca="false">IF($M103="","",$C103*$D103)</f>
        <v/>
      </c>
      <c r="V103" s="61" t="str">
        <f aca="false">IF($M103="","",-N($N103))</f>
        <v/>
      </c>
      <c r="W103" s="61" t="str">
        <f aca="false">IF($M103="","",-($V103-$V103/(1+Datos!$B$2)))</f>
        <v/>
      </c>
      <c r="X103" s="61" t="str">
        <f aca="false">IF($M103="","",-$M103*Datos!$C$2)</f>
        <v/>
      </c>
      <c r="Y103" s="61" t="str">
        <f aca="false">IF($M103="","",IFERROR($M103+$U103+$T103+$P103+$Q103+$R103+$S103+$V103+$W103+$X103,"Error"))</f>
        <v/>
      </c>
      <c r="Z103" s="61" t="str">
        <f aca="false">IF($M103="","",IFERROR($Y103-$E103,"Error"))</f>
        <v/>
      </c>
      <c r="AA103" s="60" t="str">
        <f aca="false">IF($M103="","",IFERROR($Z103/($M103+$T103),"Error"))</f>
        <v/>
      </c>
      <c r="AB103" s="62" t="str">
        <f aca="false">IF($M103="","",IFERROR($M103/$E103,"Error"))</f>
        <v/>
      </c>
      <c r="AD103" s="59"/>
      <c r="AE103" s="57"/>
      <c r="AF103" s="58"/>
      <c r="AG103" s="60" t="str">
        <f aca="false">IF(N($AD103)=0,"",IFERROR(($AD103/(1+$L103)-($AD103*$O103+IF($AD103&lt;=15000,1000,IF($AD103&lt;=25000,2000,IF($AD103&lt;=33000,2400,0)))+N($N103))/(1+Datos!$B$2)-$AD103*Datos!$C$2-$C103)/($AD103/(1+$L103)),"Error"))</f>
        <v/>
      </c>
      <c r="AH103" s="61" t="str">
        <f aca="false">IF(N($AD103)=0,"",IFERROR($AD103/(1+$L103)*(1-$AF103)-($AD103*$O103+IF($AD103&lt;=15000,1000,IF($AD103&lt;=25000,2000,IF($AD103&lt;=33000,2400,0)))+N($N103))/(1+Datos!$B$2)-$AD103*Datos!$C$2,"Error"))</f>
        <v/>
      </c>
      <c r="AI103" s="61" t="str">
        <f aca="false">IF($AH103="","",IFERROR($AH103*(1+$D103),"Error"))</f>
        <v/>
      </c>
      <c r="AJ103" s="60" t="str">
        <f aca="false">IF($AH103="","",IFERROR($C103/$AH103-1,"Error"))</f>
        <v/>
      </c>
      <c r="AK103" s="63" t="str">
        <f aca="false">IF($AH103="","",IFERROR(IF($C103&lt;=$AH103,"OK a ese precio","Bajar costo"),"Error"))</f>
        <v/>
      </c>
    </row>
    <row r="104" customFormat="false" ht="15" hidden="false" customHeight="false" outlineLevel="0" collapsed="false">
      <c r="E104" s="0" t="str">
        <f aca="false">IF($C104="","",$C104*(1+$D104))</f>
        <v/>
      </c>
      <c r="J104" s="57"/>
      <c r="K104" s="57"/>
      <c r="L104" s="58"/>
      <c r="M104" s="59"/>
      <c r="N104" s="59"/>
      <c r="O104" s="60" t="str">
        <f aca="false">IF($M104="","",IFERROR(IF($K104="Clásica",VLOOKUP("Argentina"&amp;$J104,Datos!$C:$D,2,0),VLOOKUP("Argentina"&amp;$J104,Datos!$C:$D,2,0)+VLOOKUP("Argentina"&amp;$K104,Datos!$H:$I,2,0)),"Error"))</f>
        <v/>
      </c>
      <c r="P104" s="61" t="str">
        <f aca="false">IF($M104="","",IFERROR(-$M104*$O104,"Error"))</f>
        <v/>
      </c>
      <c r="Q104" s="61" t="str">
        <f aca="false">IF($M104="","",IFERROR(-($P104-$P104/(1+Datos!$B$2)),"Error"))</f>
        <v/>
      </c>
      <c r="R104" s="61" t="str">
        <f aca="false">IF($M104="","",IF($M104&lt;=15000,-1000,IF($M104&lt;=25000,-2000,IF($M104&lt;=33000,-2400,0))))</f>
        <v/>
      </c>
      <c r="S104" s="61" t="str">
        <f aca="false">IF($M104="","",-($R104-$R104/(1+Datos!$B$2)))</f>
        <v/>
      </c>
      <c r="T104" s="61" t="str">
        <f aca="false">IF($M104="","",-$M104/(1+$L104)*$L104)</f>
        <v/>
      </c>
      <c r="U104" s="61" t="str">
        <f aca="false">IF($M104="","",$C104*$D104)</f>
        <v/>
      </c>
      <c r="V104" s="61" t="str">
        <f aca="false">IF($M104="","",-N($N104))</f>
        <v/>
      </c>
      <c r="W104" s="61" t="str">
        <f aca="false">IF($M104="","",-($V104-$V104/(1+Datos!$B$2)))</f>
        <v/>
      </c>
      <c r="X104" s="61" t="str">
        <f aca="false">IF($M104="","",-$M104*Datos!$C$2)</f>
        <v/>
      </c>
      <c r="Y104" s="61" t="str">
        <f aca="false">IF($M104="","",IFERROR($M104+$U104+$T104+$P104+$Q104+$R104+$S104+$V104+$W104+$X104,"Error"))</f>
        <v/>
      </c>
      <c r="Z104" s="61" t="str">
        <f aca="false">IF($M104="","",IFERROR($Y104-$E104,"Error"))</f>
        <v/>
      </c>
      <c r="AA104" s="60" t="str">
        <f aca="false">IF($M104="","",IFERROR($Z104/($M104+$T104),"Error"))</f>
        <v/>
      </c>
      <c r="AB104" s="62" t="str">
        <f aca="false">IF($M104="","",IFERROR($M104/$E104,"Error"))</f>
        <v/>
      </c>
      <c r="AD104" s="59"/>
      <c r="AE104" s="57"/>
      <c r="AF104" s="58"/>
      <c r="AG104" s="60" t="str">
        <f aca="false">IF(N($AD104)=0,"",IFERROR(($AD104/(1+$L104)-($AD104*$O104+IF($AD104&lt;=15000,1000,IF($AD104&lt;=25000,2000,IF($AD104&lt;=33000,2400,0)))+N($N104))/(1+Datos!$B$2)-$AD104*Datos!$C$2-$C104)/($AD104/(1+$L104)),"Error"))</f>
        <v/>
      </c>
      <c r="AH104" s="61" t="str">
        <f aca="false">IF(N($AD104)=0,"",IFERROR($AD104/(1+$L104)*(1-$AF104)-($AD104*$O104+IF($AD104&lt;=15000,1000,IF($AD104&lt;=25000,2000,IF($AD104&lt;=33000,2400,0)))+N($N104))/(1+Datos!$B$2)-$AD104*Datos!$C$2,"Error"))</f>
        <v/>
      </c>
      <c r="AI104" s="61" t="str">
        <f aca="false">IF($AH104="","",IFERROR($AH104*(1+$D104),"Error"))</f>
        <v/>
      </c>
      <c r="AJ104" s="60" t="str">
        <f aca="false">IF($AH104="","",IFERROR($C104/$AH104-1,"Error"))</f>
        <v/>
      </c>
      <c r="AK104" s="63" t="str">
        <f aca="false">IF($AH104="","",IFERROR(IF($C104&lt;=$AH104,"OK a ese precio","Bajar costo"),"Error"))</f>
        <v/>
      </c>
    </row>
    <row r="105" customFormat="false" ht="15" hidden="false" customHeight="false" outlineLevel="0" collapsed="false">
      <c r="E105" s="0" t="str">
        <f aca="false">IF($C105="","",$C105*(1+$D105))</f>
        <v/>
      </c>
      <c r="J105" s="57"/>
      <c r="K105" s="57"/>
      <c r="L105" s="58"/>
      <c r="M105" s="59"/>
      <c r="N105" s="59"/>
      <c r="O105" s="60" t="str">
        <f aca="false">IF($M105="","",IFERROR(IF($K105="Clásica",VLOOKUP("Argentina"&amp;$J105,Datos!$C:$D,2,0),VLOOKUP("Argentina"&amp;$J105,Datos!$C:$D,2,0)+VLOOKUP("Argentina"&amp;$K105,Datos!$H:$I,2,0)),"Error"))</f>
        <v/>
      </c>
      <c r="P105" s="61" t="str">
        <f aca="false">IF($M105="","",IFERROR(-$M105*$O105,"Error"))</f>
        <v/>
      </c>
      <c r="Q105" s="61" t="str">
        <f aca="false">IF($M105="","",IFERROR(-($P105-$P105/(1+Datos!$B$2)),"Error"))</f>
        <v/>
      </c>
      <c r="R105" s="61" t="str">
        <f aca="false">IF($M105="","",IF($M105&lt;=15000,-1000,IF($M105&lt;=25000,-2000,IF($M105&lt;=33000,-2400,0))))</f>
        <v/>
      </c>
      <c r="S105" s="61" t="str">
        <f aca="false">IF($M105="","",-($R105-$R105/(1+Datos!$B$2)))</f>
        <v/>
      </c>
      <c r="T105" s="61" t="str">
        <f aca="false">IF($M105="","",-$M105/(1+$L105)*$L105)</f>
        <v/>
      </c>
      <c r="U105" s="61" t="str">
        <f aca="false">IF($M105="","",$C105*$D105)</f>
        <v/>
      </c>
      <c r="V105" s="61" t="str">
        <f aca="false">IF($M105="","",-N($N105))</f>
        <v/>
      </c>
      <c r="W105" s="61" t="str">
        <f aca="false">IF($M105="","",-($V105-$V105/(1+Datos!$B$2)))</f>
        <v/>
      </c>
      <c r="X105" s="61" t="str">
        <f aca="false">IF($M105="","",-$M105*Datos!$C$2)</f>
        <v/>
      </c>
      <c r="Y105" s="61" t="str">
        <f aca="false">IF($M105="","",IFERROR($M105+$U105+$T105+$P105+$Q105+$R105+$S105+$V105+$W105+$X105,"Error"))</f>
        <v/>
      </c>
      <c r="Z105" s="61" t="str">
        <f aca="false">IF($M105="","",IFERROR($Y105-$E105,"Error"))</f>
        <v/>
      </c>
      <c r="AA105" s="60" t="str">
        <f aca="false">IF($M105="","",IFERROR($Z105/($M105+$T105),"Error"))</f>
        <v/>
      </c>
      <c r="AB105" s="62" t="str">
        <f aca="false">IF($M105="","",IFERROR($M105/$E105,"Error"))</f>
        <v/>
      </c>
      <c r="AD105" s="59"/>
      <c r="AE105" s="57"/>
      <c r="AF105" s="58"/>
      <c r="AG105" s="60" t="str">
        <f aca="false">IF(N($AD105)=0,"",IFERROR(($AD105/(1+$L105)-($AD105*$O105+IF($AD105&lt;=15000,1000,IF($AD105&lt;=25000,2000,IF($AD105&lt;=33000,2400,0)))+N($N105))/(1+Datos!$B$2)-$AD105*Datos!$C$2-$C105)/($AD105/(1+$L105)),"Error"))</f>
        <v/>
      </c>
      <c r="AH105" s="61" t="str">
        <f aca="false">IF(N($AD105)=0,"",IFERROR($AD105/(1+$L105)*(1-$AF105)-($AD105*$O105+IF($AD105&lt;=15000,1000,IF($AD105&lt;=25000,2000,IF($AD105&lt;=33000,2400,0)))+N($N105))/(1+Datos!$B$2)-$AD105*Datos!$C$2,"Error"))</f>
        <v/>
      </c>
      <c r="AI105" s="61" t="str">
        <f aca="false">IF($AH105="","",IFERROR($AH105*(1+$D105),"Error"))</f>
        <v/>
      </c>
      <c r="AJ105" s="60" t="str">
        <f aca="false">IF($AH105="","",IFERROR($C105/$AH105-1,"Error"))</f>
        <v/>
      </c>
      <c r="AK105" s="63" t="str">
        <f aca="false">IF($AH105="","",IFERROR(IF($C105&lt;=$AH105,"OK a ese precio","Bajar costo"),"Error"))</f>
        <v/>
      </c>
    </row>
    <row r="106" customFormat="false" ht="15" hidden="false" customHeight="false" outlineLevel="0" collapsed="false">
      <c r="E106" s="0" t="str">
        <f aca="false">IF($C106="","",$C106*(1+$D106))</f>
        <v/>
      </c>
      <c r="J106" s="57"/>
      <c r="K106" s="57"/>
      <c r="L106" s="58"/>
      <c r="M106" s="59"/>
      <c r="N106" s="59"/>
      <c r="O106" s="60" t="str">
        <f aca="false">IF($M106="","",IFERROR(IF($K106="Clásica",VLOOKUP("Argentina"&amp;$J106,Datos!$C:$D,2,0),VLOOKUP("Argentina"&amp;$J106,Datos!$C:$D,2,0)+VLOOKUP("Argentina"&amp;$K106,Datos!$H:$I,2,0)),"Error"))</f>
        <v/>
      </c>
      <c r="P106" s="61" t="str">
        <f aca="false">IF($M106="","",IFERROR(-$M106*$O106,"Error"))</f>
        <v/>
      </c>
      <c r="Q106" s="61" t="str">
        <f aca="false">IF($M106="","",IFERROR(-($P106-$P106/(1+Datos!$B$2)),"Error"))</f>
        <v/>
      </c>
      <c r="R106" s="61" t="str">
        <f aca="false">IF($M106="","",IF($M106&lt;=15000,-1000,IF($M106&lt;=25000,-2000,IF($M106&lt;=33000,-2400,0))))</f>
        <v/>
      </c>
      <c r="S106" s="61" t="str">
        <f aca="false">IF($M106="","",-($R106-$R106/(1+Datos!$B$2)))</f>
        <v/>
      </c>
      <c r="T106" s="61" t="str">
        <f aca="false">IF($M106="","",-$M106/(1+$L106)*$L106)</f>
        <v/>
      </c>
      <c r="U106" s="61" t="str">
        <f aca="false">IF($M106="","",$C106*$D106)</f>
        <v/>
      </c>
      <c r="V106" s="61" t="str">
        <f aca="false">IF($M106="","",-N($N106))</f>
        <v/>
      </c>
      <c r="W106" s="61" t="str">
        <f aca="false">IF($M106="","",-($V106-$V106/(1+Datos!$B$2)))</f>
        <v/>
      </c>
      <c r="X106" s="61" t="str">
        <f aca="false">IF($M106="","",-$M106*Datos!$C$2)</f>
        <v/>
      </c>
      <c r="Y106" s="61" t="str">
        <f aca="false">IF($M106="","",IFERROR($M106+$U106+$T106+$P106+$Q106+$R106+$S106+$V106+$W106+$X106,"Error"))</f>
        <v/>
      </c>
      <c r="Z106" s="61" t="str">
        <f aca="false">IF($M106="","",IFERROR($Y106-$E106,"Error"))</f>
        <v/>
      </c>
      <c r="AA106" s="60" t="str">
        <f aca="false">IF($M106="","",IFERROR($Z106/($M106+$T106),"Error"))</f>
        <v/>
      </c>
      <c r="AB106" s="62" t="str">
        <f aca="false">IF($M106="","",IFERROR($M106/$E106,"Error"))</f>
        <v/>
      </c>
      <c r="AD106" s="59"/>
      <c r="AE106" s="57"/>
      <c r="AF106" s="58"/>
      <c r="AG106" s="60" t="str">
        <f aca="false">IF(N($AD106)=0,"",IFERROR(($AD106/(1+$L106)-($AD106*$O106+IF($AD106&lt;=15000,1000,IF($AD106&lt;=25000,2000,IF($AD106&lt;=33000,2400,0)))+N($N106))/(1+Datos!$B$2)-$AD106*Datos!$C$2-$C106)/($AD106/(1+$L106)),"Error"))</f>
        <v/>
      </c>
      <c r="AH106" s="61" t="str">
        <f aca="false">IF(N($AD106)=0,"",IFERROR($AD106/(1+$L106)*(1-$AF106)-($AD106*$O106+IF($AD106&lt;=15000,1000,IF($AD106&lt;=25000,2000,IF($AD106&lt;=33000,2400,0)))+N($N106))/(1+Datos!$B$2)-$AD106*Datos!$C$2,"Error"))</f>
        <v/>
      </c>
      <c r="AI106" s="61" t="str">
        <f aca="false">IF($AH106="","",IFERROR($AH106*(1+$D106),"Error"))</f>
        <v/>
      </c>
      <c r="AJ106" s="60" t="str">
        <f aca="false">IF($AH106="","",IFERROR($C106/$AH106-1,"Error"))</f>
        <v/>
      </c>
      <c r="AK106" s="63" t="str">
        <f aca="false">IF($AH106="","",IFERROR(IF($C106&lt;=$AH106,"OK a ese precio","Bajar costo"),"Error"))</f>
        <v/>
      </c>
    </row>
    <row r="107" customFormat="false" ht="15" hidden="false" customHeight="false" outlineLevel="0" collapsed="false">
      <c r="E107" s="0" t="str">
        <f aca="false">IF($C107="","",$C107*(1+$D107))</f>
        <v/>
      </c>
      <c r="J107" s="57"/>
      <c r="K107" s="57"/>
      <c r="L107" s="58"/>
      <c r="M107" s="59"/>
      <c r="N107" s="59"/>
      <c r="O107" s="60" t="str">
        <f aca="false">IF($M107="","",IFERROR(IF($K107="Clásica",VLOOKUP("Argentina"&amp;$J107,Datos!$C:$D,2,0),VLOOKUP("Argentina"&amp;$J107,Datos!$C:$D,2,0)+VLOOKUP("Argentina"&amp;$K107,Datos!$H:$I,2,0)),"Error"))</f>
        <v/>
      </c>
      <c r="P107" s="61" t="str">
        <f aca="false">IF($M107="","",IFERROR(-$M107*$O107,"Error"))</f>
        <v/>
      </c>
      <c r="Q107" s="61" t="str">
        <f aca="false">IF($M107="","",IFERROR(-($P107-$P107/(1+Datos!$B$2)),"Error"))</f>
        <v/>
      </c>
      <c r="R107" s="61" t="str">
        <f aca="false">IF($M107="","",IF($M107&lt;=15000,-1000,IF($M107&lt;=25000,-2000,IF($M107&lt;=33000,-2400,0))))</f>
        <v/>
      </c>
      <c r="S107" s="61" t="str">
        <f aca="false">IF($M107="","",-($R107-$R107/(1+Datos!$B$2)))</f>
        <v/>
      </c>
      <c r="T107" s="61" t="str">
        <f aca="false">IF($M107="","",-$M107/(1+$L107)*$L107)</f>
        <v/>
      </c>
      <c r="U107" s="61" t="str">
        <f aca="false">IF($M107="","",$C107*$D107)</f>
        <v/>
      </c>
      <c r="V107" s="61" t="str">
        <f aca="false">IF($M107="","",-N($N107))</f>
        <v/>
      </c>
      <c r="W107" s="61" t="str">
        <f aca="false">IF($M107="","",-($V107-$V107/(1+Datos!$B$2)))</f>
        <v/>
      </c>
      <c r="X107" s="61" t="str">
        <f aca="false">IF($M107="","",-$M107*Datos!$C$2)</f>
        <v/>
      </c>
      <c r="Y107" s="61" t="str">
        <f aca="false">IF($M107="","",IFERROR($M107+$U107+$T107+$P107+$Q107+$R107+$S107+$V107+$W107+$X107,"Error"))</f>
        <v/>
      </c>
      <c r="Z107" s="61" t="str">
        <f aca="false">IF($M107="","",IFERROR($Y107-$E107,"Error"))</f>
        <v/>
      </c>
      <c r="AA107" s="60" t="str">
        <f aca="false">IF($M107="","",IFERROR($Z107/($M107+$T107),"Error"))</f>
        <v/>
      </c>
      <c r="AB107" s="62" t="str">
        <f aca="false">IF($M107="","",IFERROR($M107/$E107,"Error"))</f>
        <v/>
      </c>
      <c r="AD107" s="59"/>
      <c r="AE107" s="57"/>
      <c r="AF107" s="58"/>
      <c r="AG107" s="60" t="str">
        <f aca="false">IF(N($AD107)=0,"",IFERROR(($AD107/(1+$L107)-($AD107*$O107+IF($AD107&lt;=15000,1000,IF($AD107&lt;=25000,2000,IF($AD107&lt;=33000,2400,0)))+N($N107))/(1+Datos!$B$2)-$AD107*Datos!$C$2-$C107)/($AD107/(1+$L107)),"Error"))</f>
        <v/>
      </c>
      <c r="AH107" s="61" t="str">
        <f aca="false">IF(N($AD107)=0,"",IFERROR($AD107/(1+$L107)*(1-$AF107)-($AD107*$O107+IF($AD107&lt;=15000,1000,IF($AD107&lt;=25000,2000,IF($AD107&lt;=33000,2400,0)))+N($N107))/(1+Datos!$B$2)-$AD107*Datos!$C$2,"Error"))</f>
        <v/>
      </c>
      <c r="AI107" s="61" t="str">
        <f aca="false">IF($AH107="","",IFERROR($AH107*(1+$D107),"Error"))</f>
        <v/>
      </c>
      <c r="AJ107" s="60" t="str">
        <f aca="false">IF($AH107="","",IFERROR($C107/$AH107-1,"Error"))</f>
        <v/>
      </c>
      <c r="AK107" s="63" t="str">
        <f aca="false">IF($AH107="","",IFERROR(IF($C107&lt;=$AH107,"OK a ese precio","Bajar costo"),"Error"))</f>
        <v/>
      </c>
    </row>
    <row r="108" customFormat="false" ht="15" hidden="false" customHeight="false" outlineLevel="0" collapsed="false">
      <c r="E108" s="0" t="str">
        <f aca="false">IF($C108="","",$C108*(1+$D108))</f>
        <v/>
      </c>
      <c r="J108" s="57"/>
      <c r="K108" s="57"/>
      <c r="L108" s="58"/>
      <c r="M108" s="59"/>
      <c r="N108" s="59"/>
      <c r="O108" s="60" t="str">
        <f aca="false">IF($M108="","",IFERROR(IF($K108="Clásica",VLOOKUP("Argentina"&amp;$J108,Datos!$C:$D,2,0),VLOOKUP("Argentina"&amp;$J108,Datos!$C:$D,2,0)+VLOOKUP("Argentina"&amp;$K108,Datos!$H:$I,2,0)),"Error"))</f>
        <v/>
      </c>
      <c r="P108" s="61" t="str">
        <f aca="false">IF($M108="","",IFERROR(-$M108*$O108,"Error"))</f>
        <v/>
      </c>
      <c r="Q108" s="61" t="str">
        <f aca="false">IF($M108="","",IFERROR(-($P108-$P108/(1+Datos!$B$2)),"Error"))</f>
        <v/>
      </c>
      <c r="R108" s="61" t="str">
        <f aca="false">IF($M108="","",IF($M108&lt;=15000,-1000,IF($M108&lt;=25000,-2000,IF($M108&lt;=33000,-2400,0))))</f>
        <v/>
      </c>
      <c r="S108" s="61" t="str">
        <f aca="false">IF($M108="","",-($R108-$R108/(1+Datos!$B$2)))</f>
        <v/>
      </c>
      <c r="T108" s="61" t="str">
        <f aca="false">IF($M108="","",-$M108/(1+$L108)*$L108)</f>
        <v/>
      </c>
      <c r="U108" s="61" t="str">
        <f aca="false">IF($M108="","",$C108*$D108)</f>
        <v/>
      </c>
      <c r="V108" s="61" t="str">
        <f aca="false">IF($M108="","",-N($N108))</f>
        <v/>
      </c>
      <c r="W108" s="61" t="str">
        <f aca="false">IF($M108="","",-($V108-$V108/(1+Datos!$B$2)))</f>
        <v/>
      </c>
      <c r="X108" s="61" t="str">
        <f aca="false">IF($M108="","",-$M108*Datos!$C$2)</f>
        <v/>
      </c>
      <c r="Y108" s="61" t="str">
        <f aca="false">IF($M108="","",IFERROR($M108+$U108+$T108+$P108+$Q108+$R108+$S108+$V108+$W108+$X108,"Error"))</f>
        <v/>
      </c>
      <c r="Z108" s="61" t="str">
        <f aca="false">IF($M108="","",IFERROR($Y108-$E108,"Error"))</f>
        <v/>
      </c>
      <c r="AA108" s="60" t="str">
        <f aca="false">IF($M108="","",IFERROR($Z108/($M108+$T108),"Error"))</f>
        <v/>
      </c>
      <c r="AB108" s="62" t="str">
        <f aca="false">IF($M108="","",IFERROR($M108/$E108,"Error"))</f>
        <v/>
      </c>
      <c r="AD108" s="59"/>
      <c r="AE108" s="57"/>
      <c r="AF108" s="58"/>
      <c r="AG108" s="60" t="str">
        <f aca="false">IF(N($AD108)=0,"",IFERROR(($AD108/(1+$L108)-($AD108*$O108+IF($AD108&lt;=15000,1000,IF($AD108&lt;=25000,2000,IF($AD108&lt;=33000,2400,0)))+N($N108))/(1+Datos!$B$2)-$AD108*Datos!$C$2-$C108)/($AD108/(1+$L108)),"Error"))</f>
        <v/>
      </c>
      <c r="AH108" s="61" t="str">
        <f aca="false">IF(N($AD108)=0,"",IFERROR($AD108/(1+$L108)*(1-$AF108)-($AD108*$O108+IF($AD108&lt;=15000,1000,IF($AD108&lt;=25000,2000,IF($AD108&lt;=33000,2400,0)))+N($N108))/(1+Datos!$B$2)-$AD108*Datos!$C$2,"Error"))</f>
        <v/>
      </c>
      <c r="AI108" s="61" t="str">
        <f aca="false">IF($AH108="","",IFERROR($AH108*(1+$D108),"Error"))</f>
        <v/>
      </c>
      <c r="AJ108" s="60" t="str">
        <f aca="false">IF($AH108="","",IFERROR($C108/$AH108-1,"Error"))</f>
        <v/>
      </c>
      <c r="AK108" s="63" t="str">
        <f aca="false">IF($AH108="","",IFERROR(IF($C108&lt;=$AH108,"OK a ese precio","Bajar costo"),"Error"))</f>
        <v/>
      </c>
    </row>
    <row r="109" customFormat="false" ht="15" hidden="false" customHeight="false" outlineLevel="0" collapsed="false">
      <c r="E109" s="0" t="str">
        <f aca="false">IF($C109="","",$C109*(1+$D109))</f>
        <v/>
      </c>
      <c r="J109" s="57"/>
      <c r="K109" s="57"/>
      <c r="L109" s="58"/>
      <c r="M109" s="59"/>
      <c r="N109" s="59"/>
      <c r="O109" s="60" t="str">
        <f aca="false">IF($M109="","",IFERROR(IF($K109="Clásica",VLOOKUP("Argentina"&amp;$J109,Datos!$C:$D,2,0),VLOOKUP("Argentina"&amp;$J109,Datos!$C:$D,2,0)+VLOOKUP("Argentina"&amp;$K109,Datos!$H:$I,2,0)),"Error"))</f>
        <v/>
      </c>
      <c r="P109" s="61" t="str">
        <f aca="false">IF($M109="","",IFERROR(-$M109*$O109,"Error"))</f>
        <v/>
      </c>
      <c r="Q109" s="61" t="str">
        <f aca="false">IF($M109="","",IFERROR(-($P109-$P109/(1+Datos!$B$2)),"Error"))</f>
        <v/>
      </c>
      <c r="R109" s="61" t="str">
        <f aca="false">IF($M109="","",IF($M109&lt;=15000,-1000,IF($M109&lt;=25000,-2000,IF($M109&lt;=33000,-2400,0))))</f>
        <v/>
      </c>
      <c r="S109" s="61" t="str">
        <f aca="false">IF($M109="","",-($R109-$R109/(1+Datos!$B$2)))</f>
        <v/>
      </c>
      <c r="T109" s="61" t="str">
        <f aca="false">IF($M109="","",-$M109/(1+$L109)*$L109)</f>
        <v/>
      </c>
      <c r="U109" s="61" t="str">
        <f aca="false">IF($M109="","",$C109*$D109)</f>
        <v/>
      </c>
      <c r="V109" s="61" t="str">
        <f aca="false">IF($M109="","",-N($N109))</f>
        <v/>
      </c>
      <c r="W109" s="61" t="str">
        <f aca="false">IF($M109="","",-($V109-$V109/(1+Datos!$B$2)))</f>
        <v/>
      </c>
      <c r="X109" s="61" t="str">
        <f aca="false">IF($M109="","",-$M109*Datos!$C$2)</f>
        <v/>
      </c>
      <c r="Y109" s="61" t="str">
        <f aca="false">IF($M109="","",IFERROR($M109+$U109+$T109+$P109+$Q109+$R109+$S109+$V109+$W109+$X109,"Error"))</f>
        <v/>
      </c>
      <c r="Z109" s="61" t="str">
        <f aca="false">IF($M109="","",IFERROR($Y109-$E109,"Error"))</f>
        <v/>
      </c>
      <c r="AA109" s="60" t="str">
        <f aca="false">IF($M109="","",IFERROR($Z109/($M109+$T109),"Error"))</f>
        <v/>
      </c>
      <c r="AB109" s="62" t="str">
        <f aca="false">IF($M109="","",IFERROR($M109/$E109,"Error"))</f>
        <v/>
      </c>
      <c r="AD109" s="59"/>
      <c r="AE109" s="57"/>
      <c r="AF109" s="58"/>
      <c r="AG109" s="60" t="str">
        <f aca="false">IF(N($AD109)=0,"",IFERROR(($AD109/(1+$L109)-($AD109*$O109+IF($AD109&lt;=15000,1000,IF($AD109&lt;=25000,2000,IF($AD109&lt;=33000,2400,0)))+N($N109))/(1+Datos!$B$2)-$AD109*Datos!$C$2-$C109)/($AD109/(1+$L109)),"Error"))</f>
        <v/>
      </c>
      <c r="AH109" s="61" t="str">
        <f aca="false">IF(N($AD109)=0,"",IFERROR($AD109/(1+$L109)*(1-$AF109)-($AD109*$O109+IF($AD109&lt;=15000,1000,IF($AD109&lt;=25000,2000,IF($AD109&lt;=33000,2400,0)))+N($N109))/(1+Datos!$B$2)-$AD109*Datos!$C$2,"Error"))</f>
        <v/>
      </c>
      <c r="AI109" s="61" t="str">
        <f aca="false">IF($AH109="","",IFERROR($AH109*(1+$D109),"Error"))</f>
        <v/>
      </c>
      <c r="AJ109" s="60" t="str">
        <f aca="false">IF($AH109="","",IFERROR($C109/$AH109-1,"Error"))</f>
        <v/>
      </c>
      <c r="AK109" s="63" t="str">
        <f aca="false">IF($AH109="","",IFERROR(IF($C109&lt;=$AH109,"OK a ese precio","Bajar costo"),"Error"))</f>
        <v/>
      </c>
    </row>
    <row r="110" customFormat="false" ht="15" hidden="false" customHeight="false" outlineLevel="0" collapsed="false">
      <c r="E110" s="0" t="str">
        <f aca="false">IF($C110="","",$C110*(1+$D110))</f>
        <v/>
      </c>
      <c r="J110" s="57"/>
      <c r="K110" s="57"/>
      <c r="L110" s="58"/>
      <c r="M110" s="59"/>
      <c r="N110" s="59"/>
      <c r="O110" s="60" t="str">
        <f aca="false">IF($M110="","",IFERROR(IF($K110="Clásica",VLOOKUP("Argentina"&amp;$J110,Datos!$C:$D,2,0),VLOOKUP("Argentina"&amp;$J110,Datos!$C:$D,2,0)+VLOOKUP("Argentina"&amp;$K110,Datos!$H:$I,2,0)),"Error"))</f>
        <v/>
      </c>
      <c r="P110" s="61" t="str">
        <f aca="false">IF($M110="","",IFERROR(-$M110*$O110,"Error"))</f>
        <v/>
      </c>
      <c r="Q110" s="61" t="str">
        <f aca="false">IF($M110="","",IFERROR(-($P110-$P110/(1+Datos!$B$2)),"Error"))</f>
        <v/>
      </c>
      <c r="R110" s="61" t="str">
        <f aca="false">IF($M110="","",IF($M110&lt;=15000,-1000,IF($M110&lt;=25000,-2000,IF($M110&lt;=33000,-2400,0))))</f>
        <v/>
      </c>
      <c r="S110" s="61" t="str">
        <f aca="false">IF($M110="","",-($R110-$R110/(1+Datos!$B$2)))</f>
        <v/>
      </c>
      <c r="T110" s="61" t="str">
        <f aca="false">IF($M110="","",-$M110/(1+$L110)*$L110)</f>
        <v/>
      </c>
      <c r="U110" s="61" t="str">
        <f aca="false">IF($M110="","",$C110*$D110)</f>
        <v/>
      </c>
      <c r="V110" s="61" t="str">
        <f aca="false">IF($M110="","",-N($N110))</f>
        <v/>
      </c>
      <c r="W110" s="61" t="str">
        <f aca="false">IF($M110="","",-($V110-$V110/(1+Datos!$B$2)))</f>
        <v/>
      </c>
      <c r="X110" s="61" t="str">
        <f aca="false">IF($M110="","",-$M110*Datos!$C$2)</f>
        <v/>
      </c>
      <c r="Y110" s="61" t="str">
        <f aca="false">IF($M110="","",IFERROR($M110+$U110+$T110+$P110+$Q110+$R110+$S110+$V110+$W110+$X110,"Error"))</f>
        <v/>
      </c>
      <c r="Z110" s="61" t="str">
        <f aca="false">IF($M110="","",IFERROR($Y110-$E110,"Error"))</f>
        <v/>
      </c>
      <c r="AA110" s="60" t="str">
        <f aca="false">IF($M110="","",IFERROR($Z110/($M110+$T110),"Error"))</f>
        <v/>
      </c>
      <c r="AB110" s="62" t="str">
        <f aca="false">IF($M110="","",IFERROR($M110/$E110,"Error"))</f>
        <v/>
      </c>
      <c r="AD110" s="59"/>
      <c r="AE110" s="57"/>
      <c r="AF110" s="58"/>
      <c r="AG110" s="60" t="str">
        <f aca="false">IF(N($AD110)=0,"",IFERROR(($AD110/(1+$L110)-($AD110*$O110+IF($AD110&lt;=15000,1000,IF($AD110&lt;=25000,2000,IF($AD110&lt;=33000,2400,0)))+N($N110))/(1+Datos!$B$2)-$AD110*Datos!$C$2-$C110)/($AD110/(1+$L110)),"Error"))</f>
        <v/>
      </c>
      <c r="AH110" s="61" t="str">
        <f aca="false">IF(N($AD110)=0,"",IFERROR($AD110/(1+$L110)*(1-$AF110)-($AD110*$O110+IF($AD110&lt;=15000,1000,IF($AD110&lt;=25000,2000,IF($AD110&lt;=33000,2400,0)))+N($N110))/(1+Datos!$B$2)-$AD110*Datos!$C$2,"Error"))</f>
        <v/>
      </c>
      <c r="AI110" s="61" t="str">
        <f aca="false">IF($AH110="","",IFERROR($AH110*(1+$D110),"Error"))</f>
        <v/>
      </c>
      <c r="AJ110" s="60" t="str">
        <f aca="false">IF($AH110="","",IFERROR($C110/$AH110-1,"Error"))</f>
        <v/>
      </c>
      <c r="AK110" s="63" t="str">
        <f aca="false">IF($AH110="","",IFERROR(IF($C110&lt;=$AH110,"OK a ese precio","Bajar costo"),"Error"))</f>
        <v/>
      </c>
    </row>
    <row r="111" customFormat="false" ht="15" hidden="false" customHeight="false" outlineLevel="0" collapsed="false">
      <c r="E111" s="0" t="str">
        <f aca="false">IF($C111="","",$C111*(1+$D111))</f>
        <v/>
      </c>
      <c r="J111" s="57"/>
      <c r="K111" s="57"/>
      <c r="L111" s="58"/>
      <c r="M111" s="59"/>
      <c r="N111" s="59"/>
      <c r="O111" s="60" t="str">
        <f aca="false">IF($M111="","",IFERROR(IF($K111="Clásica",VLOOKUP("Argentina"&amp;$J111,Datos!$C:$D,2,0),VLOOKUP("Argentina"&amp;$J111,Datos!$C:$D,2,0)+VLOOKUP("Argentina"&amp;$K111,Datos!$H:$I,2,0)),"Error"))</f>
        <v/>
      </c>
      <c r="P111" s="61" t="str">
        <f aca="false">IF($M111="","",IFERROR(-$M111*$O111,"Error"))</f>
        <v/>
      </c>
      <c r="Q111" s="61" t="str">
        <f aca="false">IF($M111="","",IFERROR(-($P111-$P111/(1+Datos!$B$2)),"Error"))</f>
        <v/>
      </c>
      <c r="R111" s="61" t="str">
        <f aca="false">IF($M111="","",IF($M111&lt;=15000,-1000,IF($M111&lt;=25000,-2000,IF($M111&lt;=33000,-2400,0))))</f>
        <v/>
      </c>
      <c r="S111" s="61" t="str">
        <f aca="false">IF($M111="","",-($R111-$R111/(1+Datos!$B$2)))</f>
        <v/>
      </c>
      <c r="T111" s="61" t="str">
        <f aca="false">IF($M111="","",-$M111/(1+$L111)*$L111)</f>
        <v/>
      </c>
      <c r="U111" s="61" t="str">
        <f aca="false">IF($M111="","",$C111*$D111)</f>
        <v/>
      </c>
      <c r="V111" s="61" t="str">
        <f aca="false">IF($M111="","",-N($N111))</f>
        <v/>
      </c>
      <c r="W111" s="61" t="str">
        <f aca="false">IF($M111="","",-($V111-$V111/(1+Datos!$B$2)))</f>
        <v/>
      </c>
      <c r="X111" s="61" t="str">
        <f aca="false">IF($M111="","",-$M111*Datos!$C$2)</f>
        <v/>
      </c>
      <c r="Y111" s="61" t="str">
        <f aca="false">IF($M111="","",IFERROR($M111+$U111+$T111+$P111+$Q111+$R111+$S111+$V111+$W111+$X111,"Error"))</f>
        <v/>
      </c>
      <c r="Z111" s="61" t="str">
        <f aca="false">IF($M111="","",IFERROR($Y111-$E111,"Error"))</f>
        <v/>
      </c>
      <c r="AA111" s="60" t="str">
        <f aca="false">IF($M111="","",IFERROR($Z111/($M111+$T111),"Error"))</f>
        <v/>
      </c>
      <c r="AB111" s="62" t="str">
        <f aca="false">IF($M111="","",IFERROR($M111/$E111,"Error"))</f>
        <v/>
      </c>
      <c r="AD111" s="59"/>
      <c r="AE111" s="57"/>
      <c r="AF111" s="58"/>
      <c r="AG111" s="60" t="str">
        <f aca="false">IF(N($AD111)=0,"",IFERROR(($AD111/(1+$L111)-($AD111*$O111+IF($AD111&lt;=15000,1000,IF($AD111&lt;=25000,2000,IF($AD111&lt;=33000,2400,0)))+N($N111))/(1+Datos!$B$2)-$AD111*Datos!$C$2-$C111)/($AD111/(1+$L111)),"Error"))</f>
        <v/>
      </c>
      <c r="AH111" s="61" t="str">
        <f aca="false">IF(N($AD111)=0,"",IFERROR($AD111/(1+$L111)*(1-$AF111)-($AD111*$O111+IF($AD111&lt;=15000,1000,IF($AD111&lt;=25000,2000,IF($AD111&lt;=33000,2400,0)))+N($N111))/(1+Datos!$B$2)-$AD111*Datos!$C$2,"Error"))</f>
        <v/>
      </c>
      <c r="AI111" s="61" t="str">
        <f aca="false">IF($AH111="","",IFERROR($AH111*(1+$D111),"Error"))</f>
        <v/>
      </c>
      <c r="AJ111" s="60" t="str">
        <f aca="false">IF($AH111="","",IFERROR($C111/$AH111-1,"Error"))</f>
        <v/>
      </c>
      <c r="AK111" s="63" t="str">
        <f aca="false">IF($AH111="","",IFERROR(IF($C111&lt;=$AH111,"OK a ese precio","Bajar costo"),"Error"))</f>
        <v/>
      </c>
    </row>
    <row r="112" customFormat="false" ht="15" hidden="false" customHeight="false" outlineLevel="0" collapsed="false">
      <c r="E112" s="0" t="str">
        <f aca="false">IF($C112="","",$C112*(1+$D112))</f>
        <v/>
      </c>
      <c r="J112" s="57"/>
      <c r="K112" s="57"/>
      <c r="L112" s="58"/>
      <c r="M112" s="59"/>
      <c r="N112" s="59"/>
      <c r="O112" s="60" t="str">
        <f aca="false">IF($M112="","",IFERROR(IF($K112="Clásica",VLOOKUP("Argentina"&amp;$J112,Datos!$C:$D,2,0),VLOOKUP("Argentina"&amp;$J112,Datos!$C:$D,2,0)+VLOOKUP("Argentina"&amp;$K112,Datos!$H:$I,2,0)),"Error"))</f>
        <v/>
      </c>
      <c r="P112" s="61" t="str">
        <f aca="false">IF($M112="","",IFERROR(-$M112*$O112,"Error"))</f>
        <v/>
      </c>
      <c r="Q112" s="61" t="str">
        <f aca="false">IF($M112="","",IFERROR(-($P112-$P112/(1+Datos!$B$2)),"Error"))</f>
        <v/>
      </c>
      <c r="R112" s="61" t="str">
        <f aca="false">IF($M112="","",IF($M112&lt;=15000,-1000,IF($M112&lt;=25000,-2000,IF($M112&lt;=33000,-2400,0))))</f>
        <v/>
      </c>
      <c r="S112" s="61" t="str">
        <f aca="false">IF($M112="","",-($R112-$R112/(1+Datos!$B$2)))</f>
        <v/>
      </c>
      <c r="T112" s="61" t="str">
        <f aca="false">IF($M112="","",-$M112/(1+$L112)*$L112)</f>
        <v/>
      </c>
      <c r="U112" s="61" t="str">
        <f aca="false">IF($M112="","",$C112*$D112)</f>
        <v/>
      </c>
      <c r="V112" s="61" t="str">
        <f aca="false">IF($M112="","",-N($N112))</f>
        <v/>
      </c>
      <c r="W112" s="61" t="str">
        <f aca="false">IF($M112="","",-($V112-$V112/(1+Datos!$B$2)))</f>
        <v/>
      </c>
      <c r="X112" s="61" t="str">
        <f aca="false">IF($M112="","",-$M112*Datos!$C$2)</f>
        <v/>
      </c>
      <c r="Y112" s="61" t="str">
        <f aca="false">IF($M112="","",IFERROR($M112+$U112+$T112+$P112+$Q112+$R112+$S112+$V112+$W112+$X112,"Error"))</f>
        <v/>
      </c>
      <c r="Z112" s="61" t="str">
        <f aca="false">IF($M112="","",IFERROR($Y112-$E112,"Error"))</f>
        <v/>
      </c>
      <c r="AA112" s="60" t="str">
        <f aca="false">IF($M112="","",IFERROR($Z112/($M112+$T112),"Error"))</f>
        <v/>
      </c>
      <c r="AB112" s="62" t="str">
        <f aca="false">IF($M112="","",IFERROR($M112/$E112,"Error"))</f>
        <v/>
      </c>
      <c r="AD112" s="59"/>
      <c r="AE112" s="57"/>
      <c r="AF112" s="58"/>
      <c r="AG112" s="60" t="str">
        <f aca="false">IF(N($AD112)=0,"",IFERROR(($AD112/(1+$L112)-($AD112*$O112+IF($AD112&lt;=15000,1000,IF($AD112&lt;=25000,2000,IF($AD112&lt;=33000,2400,0)))+N($N112))/(1+Datos!$B$2)-$AD112*Datos!$C$2-$C112)/($AD112/(1+$L112)),"Error"))</f>
        <v/>
      </c>
      <c r="AH112" s="61" t="str">
        <f aca="false">IF(N($AD112)=0,"",IFERROR($AD112/(1+$L112)*(1-$AF112)-($AD112*$O112+IF($AD112&lt;=15000,1000,IF($AD112&lt;=25000,2000,IF($AD112&lt;=33000,2400,0)))+N($N112))/(1+Datos!$B$2)-$AD112*Datos!$C$2,"Error"))</f>
        <v/>
      </c>
      <c r="AI112" s="61" t="str">
        <f aca="false">IF($AH112="","",IFERROR($AH112*(1+$D112),"Error"))</f>
        <v/>
      </c>
      <c r="AJ112" s="60" t="str">
        <f aca="false">IF($AH112="","",IFERROR($C112/$AH112-1,"Error"))</f>
        <v/>
      </c>
      <c r="AK112" s="63" t="str">
        <f aca="false">IF($AH112="","",IFERROR(IF($C112&lt;=$AH112,"OK a ese precio","Bajar costo"),"Error"))</f>
        <v/>
      </c>
    </row>
    <row r="113" customFormat="false" ht="15" hidden="false" customHeight="false" outlineLevel="0" collapsed="false">
      <c r="E113" s="0" t="str">
        <f aca="false">IF($C113="","",$C113*(1+$D113))</f>
        <v/>
      </c>
      <c r="J113" s="57"/>
      <c r="K113" s="57"/>
      <c r="L113" s="58"/>
      <c r="M113" s="59"/>
      <c r="N113" s="59"/>
      <c r="O113" s="60" t="str">
        <f aca="false">IF($M113="","",IFERROR(IF($K113="Clásica",VLOOKUP("Argentina"&amp;$J113,Datos!$C:$D,2,0),VLOOKUP("Argentina"&amp;$J113,Datos!$C:$D,2,0)+VLOOKUP("Argentina"&amp;$K113,Datos!$H:$I,2,0)),"Error"))</f>
        <v/>
      </c>
      <c r="P113" s="61" t="str">
        <f aca="false">IF($M113="","",IFERROR(-$M113*$O113,"Error"))</f>
        <v/>
      </c>
      <c r="Q113" s="61" t="str">
        <f aca="false">IF($M113="","",IFERROR(-($P113-$P113/(1+Datos!$B$2)),"Error"))</f>
        <v/>
      </c>
      <c r="R113" s="61" t="str">
        <f aca="false">IF($M113="","",IF($M113&lt;=15000,-1000,IF($M113&lt;=25000,-2000,IF($M113&lt;=33000,-2400,0))))</f>
        <v/>
      </c>
      <c r="S113" s="61" t="str">
        <f aca="false">IF($M113="","",-($R113-$R113/(1+Datos!$B$2)))</f>
        <v/>
      </c>
      <c r="T113" s="61" t="str">
        <f aca="false">IF($M113="","",-$M113/(1+$L113)*$L113)</f>
        <v/>
      </c>
      <c r="U113" s="61" t="str">
        <f aca="false">IF($M113="","",$C113*$D113)</f>
        <v/>
      </c>
      <c r="V113" s="61" t="str">
        <f aca="false">IF($M113="","",-N($N113))</f>
        <v/>
      </c>
      <c r="W113" s="61" t="str">
        <f aca="false">IF($M113="","",-($V113-$V113/(1+Datos!$B$2)))</f>
        <v/>
      </c>
      <c r="X113" s="61" t="str">
        <f aca="false">IF($M113="","",-$M113*Datos!$C$2)</f>
        <v/>
      </c>
      <c r="Y113" s="61" t="str">
        <f aca="false">IF($M113="","",IFERROR($M113+$U113+$T113+$P113+$Q113+$R113+$S113+$V113+$W113+$X113,"Error"))</f>
        <v/>
      </c>
      <c r="Z113" s="61" t="str">
        <f aca="false">IF($M113="","",IFERROR($Y113-$E113,"Error"))</f>
        <v/>
      </c>
      <c r="AA113" s="60" t="str">
        <f aca="false">IF($M113="","",IFERROR($Z113/($M113+$T113),"Error"))</f>
        <v/>
      </c>
      <c r="AB113" s="62" t="str">
        <f aca="false">IF($M113="","",IFERROR($M113/$E113,"Error"))</f>
        <v/>
      </c>
      <c r="AD113" s="59"/>
      <c r="AE113" s="57"/>
      <c r="AF113" s="58"/>
      <c r="AG113" s="60" t="str">
        <f aca="false">IF(N($AD113)=0,"",IFERROR(($AD113/(1+$L113)-($AD113*$O113+IF($AD113&lt;=15000,1000,IF($AD113&lt;=25000,2000,IF($AD113&lt;=33000,2400,0)))+N($N113))/(1+Datos!$B$2)-$AD113*Datos!$C$2-$C113)/($AD113/(1+$L113)),"Error"))</f>
        <v/>
      </c>
      <c r="AH113" s="61" t="str">
        <f aca="false">IF(N($AD113)=0,"",IFERROR($AD113/(1+$L113)*(1-$AF113)-($AD113*$O113+IF($AD113&lt;=15000,1000,IF($AD113&lt;=25000,2000,IF($AD113&lt;=33000,2400,0)))+N($N113))/(1+Datos!$B$2)-$AD113*Datos!$C$2,"Error"))</f>
        <v/>
      </c>
      <c r="AI113" s="61" t="str">
        <f aca="false">IF($AH113="","",IFERROR($AH113*(1+$D113),"Error"))</f>
        <v/>
      </c>
      <c r="AJ113" s="60" t="str">
        <f aca="false">IF($AH113="","",IFERROR($C113/$AH113-1,"Error"))</f>
        <v/>
      </c>
      <c r="AK113" s="63" t="str">
        <f aca="false">IF($AH113="","",IFERROR(IF($C113&lt;=$AH113,"OK a ese precio","Bajar costo"),"Error"))</f>
        <v/>
      </c>
    </row>
    <row r="114" customFormat="false" ht="15" hidden="false" customHeight="false" outlineLevel="0" collapsed="false">
      <c r="E114" s="0" t="str">
        <f aca="false">IF($C114="","",$C114*(1+$D114))</f>
        <v/>
      </c>
      <c r="J114" s="57"/>
      <c r="K114" s="57"/>
      <c r="L114" s="58"/>
      <c r="M114" s="59"/>
      <c r="N114" s="59"/>
      <c r="O114" s="60" t="str">
        <f aca="false">IF($M114="","",IFERROR(IF($K114="Clásica",VLOOKUP("Argentina"&amp;$J114,Datos!$C:$D,2,0),VLOOKUP("Argentina"&amp;$J114,Datos!$C:$D,2,0)+VLOOKUP("Argentina"&amp;$K114,Datos!$H:$I,2,0)),"Error"))</f>
        <v/>
      </c>
      <c r="P114" s="61" t="str">
        <f aca="false">IF($M114="","",IFERROR(-$M114*$O114,"Error"))</f>
        <v/>
      </c>
      <c r="Q114" s="61" t="str">
        <f aca="false">IF($M114="","",IFERROR(-($P114-$P114/(1+Datos!$B$2)),"Error"))</f>
        <v/>
      </c>
      <c r="R114" s="61" t="str">
        <f aca="false">IF($M114="","",IF($M114&lt;=15000,-1000,IF($M114&lt;=25000,-2000,IF($M114&lt;=33000,-2400,0))))</f>
        <v/>
      </c>
      <c r="S114" s="61" t="str">
        <f aca="false">IF($M114="","",-($R114-$R114/(1+Datos!$B$2)))</f>
        <v/>
      </c>
      <c r="T114" s="61" t="str">
        <f aca="false">IF($M114="","",-$M114/(1+$L114)*$L114)</f>
        <v/>
      </c>
      <c r="U114" s="61" t="str">
        <f aca="false">IF($M114="","",$C114*$D114)</f>
        <v/>
      </c>
      <c r="V114" s="61" t="str">
        <f aca="false">IF($M114="","",-N($N114))</f>
        <v/>
      </c>
      <c r="W114" s="61" t="str">
        <f aca="false">IF($M114="","",-($V114-$V114/(1+Datos!$B$2)))</f>
        <v/>
      </c>
      <c r="X114" s="61" t="str">
        <f aca="false">IF($M114="","",-$M114*Datos!$C$2)</f>
        <v/>
      </c>
      <c r="Y114" s="61" t="str">
        <f aca="false">IF($M114="","",IFERROR($M114+$U114+$T114+$P114+$Q114+$R114+$S114+$V114+$W114+$X114,"Error"))</f>
        <v/>
      </c>
      <c r="Z114" s="61" t="str">
        <f aca="false">IF($M114="","",IFERROR($Y114-$E114,"Error"))</f>
        <v/>
      </c>
      <c r="AA114" s="60" t="str">
        <f aca="false">IF($M114="","",IFERROR($Z114/($M114+$T114),"Error"))</f>
        <v/>
      </c>
      <c r="AB114" s="62" t="str">
        <f aca="false">IF($M114="","",IFERROR($M114/$E114,"Error"))</f>
        <v/>
      </c>
      <c r="AD114" s="59"/>
      <c r="AE114" s="57"/>
      <c r="AF114" s="58"/>
      <c r="AG114" s="60" t="str">
        <f aca="false">IF(N($AD114)=0,"",IFERROR(($AD114/(1+$L114)-($AD114*$O114+IF($AD114&lt;=15000,1000,IF($AD114&lt;=25000,2000,IF($AD114&lt;=33000,2400,0)))+N($N114))/(1+Datos!$B$2)-$AD114*Datos!$C$2-$C114)/($AD114/(1+$L114)),"Error"))</f>
        <v/>
      </c>
      <c r="AH114" s="61" t="str">
        <f aca="false">IF(N($AD114)=0,"",IFERROR($AD114/(1+$L114)*(1-$AF114)-($AD114*$O114+IF($AD114&lt;=15000,1000,IF($AD114&lt;=25000,2000,IF($AD114&lt;=33000,2400,0)))+N($N114))/(1+Datos!$B$2)-$AD114*Datos!$C$2,"Error"))</f>
        <v/>
      </c>
      <c r="AI114" s="61" t="str">
        <f aca="false">IF($AH114="","",IFERROR($AH114*(1+$D114),"Error"))</f>
        <v/>
      </c>
      <c r="AJ114" s="60" t="str">
        <f aca="false">IF($AH114="","",IFERROR($C114/$AH114-1,"Error"))</f>
        <v/>
      </c>
      <c r="AK114" s="63" t="str">
        <f aca="false">IF($AH114="","",IFERROR(IF($C114&lt;=$AH114,"OK a ese precio","Bajar costo"),"Error"))</f>
        <v/>
      </c>
    </row>
    <row r="115" customFormat="false" ht="15" hidden="false" customHeight="false" outlineLevel="0" collapsed="false">
      <c r="E115" s="0" t="str">
        <f aca="false">IF($C115="","",$C115*(1+$D115))</f>
        <v/>
      </c>
      <c r="J115" s="57"/>
      <c r="K115" s="57"/>
      <c r="L115" s="58"/>
      <c r="M115" s="59"/>
      <c r="N115" s="59"/>
      <c r="O115" s="60" t="str">
        <f aca="false">IF($M115="","",IFERROR(IF($K115="Clásica",VLOOKUP("Argentina"&amp;$J115,Datos!$C:$D,2,0),VLOOKUP("Argentina"&amp;$J115,Datos!$C:$D,2,0)+VLOOKUP("Argentina"&amp;$K115,Datos!$H:$I,2,0)),"Error"))</f>
        <v/>
      </c>
      <c r="P115" s="61" t="str">
        <f aca="false">IF($M115="","",IFERROR(-$M115*$O115,"Error"))</f>
        <v/>
      </c>
      <c r="Q115" s="61" t="str">
        <f aca="false">IF($M115="","",IFERROR(-($P115-$P115/(1+Datos!$B$2)),"Error"))</f>
        <v/>
      </c>
      <c r="R115" s="61" t="str">
        <f aca="false">IF($M115="","",IF($M115&lt;=15000,-1000,IF($M115&lt;=25000,-2000,IF($M115&lt;=33000,-2400,0))))</f>
        <v/>
      </c>
      <c r="S115" s="61" t="str">
        <f aca="false">IF($M115="","",-($R115-$R115/(1+Datos!$B$2)))</f>
        <v/>
      </c>
      <c r="T115" s="61" t="str">
        <f aca="false">IF($M115="","",-$M115/(1+$L115)*$L115)</f>
        <v/>
      </c>
      <c r="U115" s="61" t="str">
        <f aca="false">IF($M115="","",$C115*$D115)</f>
        <v/>
      </c>
      <c r="V115" s="61" t="str">
        <f aca="false">IF($M115="","",-N($N115))</f>
        <v/>
      </c>
      <c r="W115" s="61" t="str">
        <f aca="false">IF($M115="","",-($V115-$V115/(1+Datos!$B$2)))</f>
        <v/>
      </c>
      <c r="X115" s="61" t="str">
        <f aca="false">IF($M115="","",-$M115*Datos!$C$2)</f>
        <v/>
      </c>
      <c r="Y115" s="61" t="str">
        <f aca="false">IF($M115="","",IFERROR($M115+$U115+$T115+$P115+$Q115+$R115+$S115+$V115+$W115+$X115,"Error"))</f>
        <v/>
      </c>
      <c r="Z115" s="61" t="str">
        <f aca="false">IF($M115="","",IFERROR($Y115-$E115,"Error"))</f>
        <v/>
      </c>
      <c r="AA115" s="60" t="str">
        <f aca="false">IF($M115="","",IFERROR($Z115/($M115+$T115),"Error"))</f>
        <v/>
      </c>
      <c r="AB115" s="62" t="str">
        <f aca="false">IF($M115="","",IFERROR($M115/$E115,"Error"))</f>
        <v/>
      </c>
      <c r="AD115" s="59"/>
      <c r="AE115" s="57"/>
      <c r="AF115" s="58"/>
      <c r="AG115" s="60" t="str">
        <f aca="false">IF(N($AD115)=0,"",IFERROR(($AD115/(1+$L115)-($AD115*$O115+IF($AD115&lt;=15000,1000,IF($AD115&lt;=25000,2000,IF($AD115&lt;=33000,2400,0)))+N($N115))/(1+Datos!$B$2)-$AD115*Datos!$C$2-$C115)/($AD115/(1+$L115)),"Error"))</f>
        <v/>
      </c>
      <c r="AH115" s="61" t="str">
        <f aca="false">IF(N($AD115)=0,"",IFERROR($AD115/(1+$L115)*(1-$AF115)-($AD115*$O115+IF($AD115&lt;=15000,1000,IF($AD115&lt;=25000,2000,IF($AD115&lt;=33000,2400,0)))+N($N115))/(1+Datos!$B$2)-$AD115*Datos!$C$2,"Error"))</f>
        <v/>
      </c>
      <c r="AI115" s="61" t="str">
        <f aca="false">IF($AH115="","",IFERROR($AH115*(1+$D115),"Error"))</f>
        <v/>
      </c>
      <c r="AJ115" s="60" t="str">
        <f aca="false">IF($AH115="","",IFERROR($C115/$AH115-1,"Error"))</f>
        <v/>
      </c>
      <c r="AK115" s="63" t="str">
        <f aca="false">IF($AH115="","",IFERROR(IF($C115&lt;=$AH115,"OK a ese precio","Bajar costo"),"Error"))</f>
        <v/>
      </c>
    </row>
    <row r="116" customFormat="false" ht="15" hidden="false" customHeight="false" outlineLevel="0" collapsed="false">
      <c r="E116" s="0" t="str">
        <f aca="false">IF($C116="","",$C116*(1+$D116))</f>
        <v/>
      </c>
      <c r="J116" s="57"/>
      <c r="K116" s="57"/>
      <c r="L116" s="58"/>
      <c r="M116" s="59"/>
      <c r="N116" s="59"/>
      <c r="O116" s="60" t="str">
        <f aca="false">IF($M116="","",IFERROR(IF($K116="Clásica",VLOOKUP("Argentina"&amp;$J116,Datos!$C:$D,2,0),VLOOKUP("Argentina"&amp;$J116,Datos!$C:$D,2,0)+VLOOKUP("Argentina"&amp;$K116,Datos!$H:$I,2,0)),"Error"))</f>
        <v/>
      </c>
      <c r="P116" s="61" t="str">
        <f aca="false">IF($M116="","",IFERROR(-$M116*$O116,"Error"))</f>
        <v/>
      </c>
      <c r="Q116" s="61" t="str">
        <f aca="false">IF($M116="","",IFERROR(-($P116-$P116/(1+Datos!$B$2)),"Error"))</f>
        <v/>
      </c>
      <c r="R116" s="61" t="str">
        <f aca="false">IF($M116="","",IF($M116&lt;=15000,-1000,IF($M116&lt;=25000,-2000,IF($M116&lt;=33000,-2400,0))))</f>
        <v/>
      </c>
      <c r="S116" s="61" t="str">
        <f aca="false">IF($M116="","",-($R116-$R116/(1+Datos!$B$2)))</f>
        <v/>
      </c>
      <c r="T116" s="61" t="str">
        <f aca="false">IF($M116="","",-$M116/(1+$L116)*$L116)</f>
        <v/>
      </c>
      <c r="U116" s="61" t="str">
        <f aca="false">IF($M116="","",$C116*$D116)</f>
        <v/>
      </c>
      <c r="V116" s="61" t="str">
        <f aca="false">IF($M116="","",-N($N116))</f>
        <v/>
      </c>
      <c r="W116" s="61" t="str">
        <f aca="false">IF($M116="","",-($V116-$V116/(1+Datos!$B$2)))</f>
        <v/>
      </c>
      <c r="X116" s="61" t="str">
        <f aca="false">IF($M116="","",-$M116*Datos!$C$2)</f>
        <v/>
      </c>
      <c r="Y116" s="61" t="str">
        <f aca="false">IF($M116="","",IFERROR($M116+$U116+$T116+$P116+$Q116+$R116+$S116+$V116+$W116+$X116,"Error"))</f>
        <v/>
      </c>
      <c r="Z116" s="61" t="str">
        <f aca="false">IF($M116="","",IFERROR($Y116-$E116,"Error"))</f>
        <v/>
      </c>
      <c r="AA116" s="60" t="str">
        <f aca="false">IF($M116="","",IFERROR($Z116/($M116+$T116),"Error"))</f>
        <v/>
      </c>
      <c r="AB116" s="62" t="str">
        <f aca="false">IF($M116="","",IFERROR($M116/$E116,"Error"))</f>
        <v/>
      </c>
      <c r="AD116" s="59"/>
      <c r="AE116" s="57"/>
      <c r="AF116" s="58"/>
      <c r="AG116" s="60" t="str">
        <f aca="false">IF(N($AD116)=0,"",IFERROR(($AD116/(1+$L116)-($AD116*$O116+IF($AD116&lt;=15000,1000,IF($AD116&lt;=25000,2000,IF($AD116&lt;=33000,2400,0)))+N($N116))/(1+Datos!$B$2)-$AD116*Datos!$C$2-$C116)/($AD116/(1+$L116)),"Error"))</f>
        <v/>
      </c>
      <c r="AH116" s="61" t="str">
        <f aca="false">IF(N($AD116)=0,"",IFERROR($AD116/(1+$L116)*(1-$AF116)-($AD116*$O116+IF($AD116&lt;=15000,1000,IF($AD116&lt;=25000,2000,IF($AD116&lt;=33000,2400,0)))+N($N116))/(1+Datos!$B$2)-$AD116*Datos!$C$2,"Error"))</f>
        <v/>
      </c>
      <c r="AI116" s="61" t="str">
        <f aca="false">IF($AH116="","",IFERROR($AH116*(1+$D116),"Error"))</f>
        <v/>
      </c>
      <c r="AJ116" s="60" t="str">
        <f aca="false">IF($AH116="","",IFERROR($C116/$AH116-1,"Error"))</f>
        <v/>
      </c>
      <c r="AK116" s="63" t="str">
        <f aca="false">IF($AH116="","",IFERROR(IF($C116&lt;=$AH116,"OK a ese precio","Bajar costo"),"Error"))</f>
        <v/>
      </c>
    </row>
    <row r="117" customFormat="false" ht="15" hidden="false" customHeight="false" outlineLevel="0" collapsed="false">
      <c r="E117" s="0" t="str">
        <f aca="false">IF($C117="","",$C117*(1+$D117))</f>
        <v/>
      </c>
      <c r="J117" s="57"/>
      <c r="K117" s="57"/>
      <c r="L117" s="58"/>
      <c r="M117" s="59"/>
      <c r="N117" s="59"/>
      <c r="O117" s="60" t="str">
        <f aca="false">IF($M117="","",IFERROR(IF($K117="Clásica",VLOOKUP("Argentina"&amp;$J117,Datos!$C:$D,2,0),VLOOKUP("Argentina"&amp;$J117,Datos!$C:$D,2,0)+VLOOKUP("Argentina"&amp;$K117,Datos!$H:$I,2,0)),"Error"))</f>
        <v/>
      </c>
      <c r="P117" s="61" t="str">
        <f aca="false">IF($M117="","",IFERROR(-$M117*$O117,"Error"))</f>
        <v/>
      </c>
      <c r="Q117" s="61" t="str">
        <f aca="false">IF($M117="","",IFERROR(-($P117-$P117/(1+Datos!$B$2)),"Error"))</f>
        <v/>
      </c>
      <c r="R117" s="61" t="str">
        <f aca="false">IF($M117="","",IF($M117&lt;=15000,-1000,IF($M117&lt;=25000,-2000,IF($M117&lt;=33000,-2400,0))))</f>
        <v/>
      </c>
      <c r="S117" s="61" t="str">
        <f aca="false">IF($M117="","",-($R117-$R117/(1+Datos!$B$2)))</f>
        <v/>
      </c>
      <c r="T117" s="61" t="str">
        <f aca="false">IF($M117="","",-$M117/(1+$L117)*$L117)</f>
        <v/>
      </c>
      <c r="U117" s="61" t="str">
        <f aca="false">IF($M117="","",$C117*$D117)</f>
        <v/>
      </c>
      <c r="V117" s="61" t="str">
        <f aca="false">IF($M117="","",-N($N117))</f>
        <v/>
      </c>
      <c r="W117" s="61" t="str">
        <f aca="false">IF($M117="","",-($V117-$V117/(1+Datos!$B$2)))</f>
        <v/>
      </c>
      <c r="X117" s="61" t="str">
        <f aca="false">IF($M117="","",-$M117*Datos!$C$2)</f>
        <v/>
      </c>
      <c r="Y117" s="61" t="str">
        <f aca="false">IF($M117="","",IFERROR($M117+$U117+$T117+$P117+$Q117+$R117+$S117+$V117+$W117+$X117,"Error"))</f>
        <v/>
      </c>
      <c r="Z117" s="61" t="str">
        <f aca="false">IF($M117="","",IFERROR($Y117-$E117,"Error"))</f>
        <v/>
      </c>
      <c r="AA117" s="60" t="str">
        <f aca="false">IF($M117="","",IFERROR($Z117/($M117+$T117),"Error"))</f>
        <v/>
      </c>
      <c r="AB117" s="62" t="str">
        <f aca="false">IF($M117="","",IFERROR($M117/$E117,"Error"))</f>
        <v/>
      </c>
      <c r="AD117" s="59"/>
      <c r="AE117" s="57"/>
      <c r="AF117" s="58"/>
      <c r="AG117" s="60" t="str">
        <f aca="false">IF(N($AD117)=0,"",IFERROR(($AD117/(1+$L117)-($AD117*$O117+IF($AD117&lt;=15000,1000,IF($AD117&lt;=25000,2000,IF($AD117&lt;=33000,2400,0)))+N($N117))/(1+Datos!$B$2)-$AD117*Datos!$C$2-$C117)/($AD117/(1+$L117)),"Error"))</f>
        <v/>
      </c>
      <c r="AH117" s="61" t="str">
        <f aca="false">IF(N($AD117)=0,"",IFERROR($AD117/(1+$L117)*(1-$AF117)-($AD117*$O117+IF($AD117&lt;=15000,1000,IF($AD117&lt;=25000,2000,IF($AD117&lt;=33000,2400,0)))+N($N117))/(1+Datos!$B$2)-$AD117*Datos!$C$2,"Error"))</f>
        <v/>
      </c>
      <c r="AI117" s="61" t="str">
        <f aca="false">IF($AH117="","",IFERROR($AH117*(1+$D117),"Error"))</f>
        <v/>
      </c>
      <c r="AJ117" s="60" t="str">
        <f aca="false">IF($AH117="","",IFERROR($C117/$AH117-1,"Error"))</f>
        <v/>
      </c>
      <c r="AK117" s="63" t="str">
        <f aca="false">IF($AH117="","",IFERROR(IF($C117&lt;=$AH117,"OK a ese precio","Bajar costo"),"Error"))</f>
        <v/>
      </c>
    </row>
    <row r="118" customFormat="false" ht="15" hidden="false" customHeight="false" outlineLevel="0" collapsed="false">
      <c r="E118" s="0" t="str">
        <f aca="false">IF($C118="","",$C118*(1+$D118))</f>
        <v/>
      </c>
      <c r="J118" s="57"/>
      <c r="K118" s="57"/>
      <c r="L118" s="58"/>
      <c r="M118" s="59"/>
      <c r="N118" s="59"/>
      <c r="O118" s="60" t="str">
        <f aca="false">IF($M118="","",IFERROR(IF($K118="Clásica",VLOOKUP("Argentina"&amp;$J118,Datos!$C:$D,2,0),VLOOKUP("Argentina"&amp;$J118,Datos!$C:$D,2,0)+VLOOKUP("Argentina"&amp;$K118,Datos!$H:$I,2,0)),"Error"))</f>
        <v/>
      </c>
      <c r="P118" s="61" t="str">
        <f aca="false">IF($M118="","",IFERROR(-$M118*$O118,"Error"))</f>
        <v/>
      </c>
      <c r="Q118" s="61" t="str">
        <f aca="false">IF($M118="","",IFERROR(-($P118-$P118/(1+Datos!$B$2)),"Error"))</f>
        <v/>
      </c>
      <c r="R118" s="61" t="str">
        <f aca="false">IF($M118="","",IF($M118&lt;=15000,-1000,IF($M118&lt;=25000,-2000,IF($M118&lt;=33000,-2400,0))))</f>
        <v/>
      </c>
      <c r="S118" s="61" t="str">
        <f aca="false">IF($M118="","",-($R118-$R118/(1+Datos!$B$2)))</f>
        <v/>
      </c>
      <c r="T118" s="61" t="str">
        <f aca="false">IF($M118="","",-$M118/(1+$L118)*$L118)</f>
        <v/>
      </c>
      <c r="U118" s="61" t="str">
        <f aca="false">IF($M118="","",$C118*$D118)</f>
        <v/>
      </c>
      <c r="V118" s="61" t="str">
        <f aca="false">IF($M118="","",-N($N118))</f>
        <v/>
      </c>
      <c r="W118" s="61" t="str">
        <f aca="false">IF($M118="","",-($V118-$V118/(1+Datos!$B$2)))</f>
        <v/>
      </c>
      <c r="X118" s="61" t="str">
        <f aca="false">IF($M118="","",-$M118*Datos!$C$2)</f>
        <v/>
      </c>
      <c r="Y118" s="61" t="str">
        <f aca="false">IF($M118="","",IFERROR($M118+$U118+$T118+$P118+$Q118+$R118+$S118+$V118+$W118+$X118,"Error"))</f>
        <v/>
      </c>
      <c r="Z118" s="61" t="str">
        <f aca="false">IF($M118="","",IFERROR($Y118-$E118,"Error"))</f>
        <v/>
      </c>
      <c r="AA118" s="60" t="str">
        <f aca="false">IF($M118="","",IFERROR($Z118/($M118+$T118),"Error"))</f>
        <v/>
      </c>
      <c r="AB118" s="62" t="str">
        <f aca="false">IF($M118="","",IFERROR($M118/$E118,"Error"))</f>
        <v/>
      </c>
      <c r="AD118" s="59"/>
      <c r="AE118" s="57"/>
      <c r="AF118" s="58"/>
      <c r="AG118" s="60" t="str">
        <f aca="false">IF(N($AD118)=0,"",IFERROR(($AD118/(1+$L118)-($AD118*$O118+IF($AD118&lt;=15000,1000,IF($AD118&lt;=25000,2000,IF($AD118&lt;=33000,2400,0)))+N($N118))/(1+Datos!$B$2)-$AD118*Datos!$C$2-$C118)/($AD118/(1+$L118)),"Error"))</f>
        <v/>
      </c>
      <c r="AH118" s="61" t="str">
        <f aca="false">IF(N($AD118)=0,"",IFERROR($AD118/(1+$L118)*(1-$AF118)-($AD118*$O118+IF($AD118&lt;=15000,1000,IF($AD118&lt;=25000,2000,IF($AD118&lt;=33000,2400,0)))+N($N118))/(1+Datos!$B$2)-$AD118*Datos!$C$2,"Error"))</f>
        <v/>
      </c>
      <c r="AI118" s="61" t="str">
        <f aca="false">IF($AH118="","",IFERROR($AH118*(1+$D118),"Error"))</f>
        <v/>
      </c>
      <c r="AJ118" s="60" t="str">
        <f aca="false">IF($AH118="","",IFERROR($C118/$AH118-1,"Error"))</f>
        <v/>
      </c>
      <c r="AK118" s="63" t="str">
        <f aca="false">IF($AH118="","",IFERROR(IF($C118&lt;=$AH118,"OK a ese precio","Bajar costo"),"Error"))</f>
        <v/>
      </c>
    </row>
    <row r="119" customFormat="false" ht="15" hidden="false" customHeight="false" outlineLevel="0" collapsed="false">
      <c r="E119" s="0" t="str">
        <f aca="false">IF($C119="","",$C119*(1+$D119))</f>
        <v/>
      </c>
      <c r="J119" s="57"/>
      <c r="K119" s="57"/>
      <c r="L119" s="58"/>
      <c r="M119" s="59"/>
      <c r="N119" s="59"/>
      <c r="O119" s="60" t="str">
        <f aca="false">IF($M119="","",IFERROR(IF($K119="Clásica",VLOOKUP("Argentina"&amp;$J119,Datos!$C:$D,2,0),VLOOKUP("Argentina"&amp;$J119,Datos!$C:$D,2,0)+VLOOKUP("Argentina"&amp;$K119,Datos!$H:$I,2,0)),"Error"))</f>
        <v/>
      </c>
      <c r="P119" s="61" t="str">
        <f aca="false">IF($M119="","",IFERROR(-$M119*$O119,"Error"))</f>
        <v/>
      </c>
      <c r="Q119" s="61" t="str">
        <f aca="false">IF($M119="","",IFERROR(-($P119-$P119/(1+Datos!$B$2)),"Error"))</f>
        <v/>
      </c>
      <c r="R119" s="61" t="str">
        <f aca="false">IF($M119="","",IF($M119&lt;=15000,-1000,IF($M119&lt;=25000,-2000,IF($M119&lt;=33000,-2400,0))))</f>
        <v/>
      </c>
      <c r="S119" s="61" t="str">
        <f aca="false">IF($M119="","",-($R119-$R119/(1+Datos!$B$2)))</f>
        <v/>
      </c>
      <c r="T119" s="61" t="str">
        <f aca="false">IF($M119="","",-$M119/(1+$L119)*$L119)</f>
        <v/>
      </c>
      <c r="U119" s="61" t="str">
        <f aca="false">IF($M119="","",$C119*$D119)</f>
        <v/>
      </c>
      <c r="V119" s="61" t="str">
        <f aca="false">IF($M119="","",-N($N119))</f>
        <v/>
      </c>
      <c r="W119" s="61" t="str">
        <f aca="false">IF($M119="","",-($V119-$V119/(1+Datos!$B$2)))</f>
        <v/>
      </c>
      <c r="X119" s="61" t="str">
        <f aca="false">IF($M119="","",-$M119*Datos!$C$2)</f>
        <v/>
      </c>
      <c r="Y119" s="61" t="str">
        <f aca="false">IF($M119="","",IFERROR($M119+$U119+$T119+$P119+$Q119+$R119+$S119+$V119+$W119+$X119,"Error"))</f>
        <v/>
      </c>
      <c r="Z119" s="61" t="str">
        <f aca="false">IF($M119="","",IFERROR($Y119-$E119,"Error"))</f>
        <v/>
      </c>
      <c r="AA119" s="60" t="str">
        <f aca="false">IF($M119="","",IFERROR($Z119/($M119+$T119),"Error"))</f>
        <v/>
      </c>
      <c r="AB119" s="62" t="str">
        <f aca="false">IF($M119="","",IFERROR($M119/$E119,"Error"))</f>
        <v/>
      </c>
      <c r="AD119" s="59"/>
      <c r="AE119" s="57"/>
      <c r="AF119" s="58"/>
      <c r="AG119" s="60" t="str">
        <f aca="false">IF(N($AD119)=0,"",IFERROR(($AD119/(1+$L119)-($AD119*$O119+IF($AD119&lt;=15000,1000,IF($AD119&lt;=25000,2000,IF($AD119&lt;=33000,2400,0)))+N($N119))/(1+Datos!$B$2)-$AD119*Datos!$C$2-$C119)/($AD119/(1+$L119)),"Error"))</f>
        <v/>
      </c>
      <c r="AH119" s="61" t="str">
        <f aca="false">IF(N($AD119)=0,"",IFERROR($AD119/(1+$L119)*(1-$AF119)-($AD119*$O119+IF($AD119&lt;=15000,1000,IF($AD119&lt;=25000,2000,IF($AD119&lt;=33000,2400,0)))+N($N119))/(1+Datos!$B$2)-$AD119*Datos!$C$2,"Error"))</f>
        <v/>
      </c>
      <c r="AI119" s="61" t="str">
        <f aca="false">IF($AH119="","",IFERROR($AH119*(1+$D119),"Error"))</f>
        <v/>
      </c>
      <c r="AJ119" s="60" t="str">
        <f aca="false">IF($AH119="","",IFERROR($C119/$AH119-1,"Error"))</f>
        <v/>
      </c>
      <c r="AK119" s="63" t="str">
        <f aca="false">IF($AH119="","",IFERROR(IF($C119&lt;=$AH119,"OK a ese precio","Bajar costo"),"Error"))</f>
        <v/>
      </c>
    </row>
    <row r="120" customFormat="false" ht="15" hidden="false" customHeight="false" outlineLevel="0" collapsed="false">
      <c r="E120" s="0" t="str">
        <f aca="false">IF($C120="","",$C120*(1+$D120))</f>
        <v/>
      </c>
      <c r="J120" s="57"/>
      <c r="K120" s="57"/>
      <c r="L120" s="58"/>
      <c r="M120" s="59"/>
      <c r="N120" s="59"/>
      <c r="O120" s="60" t="str">
        <f aca="false">IF($M120="","",IFERROR(IF($K120="Clásica",VLOOKUP("Argentina"&amp;$J120,Datos!$C:$D,2,0),VLOOKUP("Argentina"&amp;$J120,Datos!$C:$D,2,0)+VLOOKUP("Argentina"&amp;$K120,Datos!$H:$I,2,0)),"Error"))</f>
        <v/>
      </c>
      <c r="P120" s="61" t="str">
        <f aca="false">IF($M120="","",IFERROR(-$M120*$O120,"Error"))</f>
        <v/>
      </c>
      <c r="Q120" s="61" t="str">
        <f aca="false">IF($M120="","",IFERROR(-($P120-$P120/(1+Datos!$B$2)),"Error"))</f>
        <v/>
      </c>
      <c r="R120" s="61" t="str">
        <f aca="false">IF($M120="","",IF($M120&lt;=15000,-1000,IF($M120&lt;=25000,-2000,IF($M120&lt;=33000,-2400,0))))</f>
        <v/>
      </c>
      <c r="S120" s="61" t="str">
        <f aca="false">IF($M120="","",-($R120-$R120/(1+Datos!$B$2)))</f>
        <v/>
      </c>
      <c r="T120" s="61" t="str">
        <f aca="false">IF($M120="","",-$M120/(1+$L120)*$L120)</f>
        <v/>
      </c>
      <c r="U120" s="61" t="str">
        <f aca="false">IF($M120="","",$C120*$D120)</f>
        <v/>
      </c>
      <c r="V120" s="61" t="str">
        <f aca="false">IF($M120="","",-N($N120))</f>
        <v/>
      </c>
      <c r="W120" s="61" t="str">
        <f aca="false">IF($M120="","",-($V120-$V120/(1+Datos!$B$2)))</f>
        <v/>
      </c>
      <c r="X120" s="61" t="str">
        <f aca="false">IF($M120="","",-$M120*Datos!$C$2)</f>
        <v/>
      </c>
      <c r="Y120" s="61" t="str">
        <f aca="false">IF($M120="","",IFERROR($M120+$U120+$T120+$P120+$Q120+$R120+$S120+$V120+$W120+$X120,"Error"))</f>
        <v/>
      </c>
      <c r="Z120" s="61" t="str">
        <f aca="false">IF($M120="","",IFERROR($Y120-$E120,"Error"))</f>
        <v/>
      </c>
      <c r="AA120" s="60" t="str">
        <f aca="false">IF($M120="","",IFERROR($Z120/($M120+$T120),"Error"))</f>
        <v/>
      </c>
      <c r="AB120" s="62" t="str">
        <f aca="false">IF($M120="","",IFERROR($M120/$E120,"Error"))</f>
        <v/>
      </c>
      <c r="AD120" s="59"/>
      <c r="AE120" s="57"/>
      <c r="AF120" s="58"/>
      <c r="AG120" s="60" t="str">
        <f aca="false">IF(N($AD120)=0,"",IFERROR(($AD120/(1+$L120)-($AD120*$O120+IF($AD120&lt;=15000,1000,IF($AD120&lt;=25000,2000,IF($AD120&lt;=33000,2400,0)))+N($N120))/(1+Datos!$B$2)-$AD120*Datos!$C$2-$C120)/($AD120/(1+$L120)),"Error"))</f>
        <v/>
      </c>
      <c r="AH120" s="61" t="str">
        <f aca="false">IF(N($AD120)=0,"",IFERROR($AD120/(1+$L120)*(1-$AF120)-($AD120*$O120+IF($AD120&lt;=15000,1000,IF($AD120&lt;=25000,2000,IF($AD120&lt;=33000,2400,0)))+N($N120))/(1+Datos!$B$2)-$AD120*Datos!$C$2,"Error"))</f>
        <v/>
      </c>
      <c r="AI120" s="61" t="str">
        <f aca="false">IF($AH120="","",IFERROR($AH120*(1+$D120),"Error"))</f>
        <v/>
      </c>
      <c r="AJ120" s="60" t="str">
        <f aca="false">IF($AH120="","",IFERROR($C120/$AH120-1,"Error"))</f>
        <v/>
      </c>
      <c r="AK120" s="63" t="str">
        <f aca="false">IF($AH120="","",IFERROR(IF($C120&lt;=$AH120,"OK a ese precio","Bajar costo"),"Error"))</f>
        <v/>
      </c>
    </row>
    <row r="121" customFormat="false" ht="15" hidden="false" customHeight="false" outlineLevel="0" collapsed="false">
      <c r="E121" s="0" t="str">
        <f aca="false">IF($C121="","",$C121*(1+$D121))</f>
        <v/>
      </c>
      <c r="J121" s="57"/>
      <c r="K121" s="57"/>
      <c r="L121" s="58"/>
      <c r="M121" s="59"/>
      <c r="N121" s="59"/>
      <c r="O121" s="60" t="str">
        <f aca="false">IF($M121="","",IFERROR(IF($K121="Clásica",VLOOKUP("Argentina"&amp;$J121,Datos!$C:$D,2,0),VLOOKUP("Argentina"&amp;$J121,Datos!$C:$D,2,0)+VLOOKUP("Argentina"&amp;$K121,Datos!$H:$I,2,0)),"Error"))</f>
        <v/>
      </c>
      <c r="P121" s="61" t="str">
        <f aca="false">IF($M121="","",IFERROR(-$M121*$O121,"Error"))</f>
        <v/>
      </c>
      <c r="Q121" s="61" t="str">
        <f aca="false">IF($M121="","",IFERROR(-($P121-$P121/(1+Datos!$B$2)),"Error"))</f>
        <v/>
      </c>
      <c r="R121" s="61" t="str">
        <f aca="false">IF($M121="","",IF($M121&lt;=15000,-1000,IF($M121&lt;=25000,-2000,IF($M121&lt;=33000,-2400,0))))</f>
        <v/>
      </c>
      <c r="S121" s="61" t="str">
        <f aca="false">IF($M121="","",-($R121-$R121/(1+Datos!$B$2)))</f>
        <v/>
      </c>
      <c r="T121" s="61" t="str">
        <f aca="false">IF($M121="","",-$M121/(1+$L121)*$L121)</f>
        <v/>
      </c>
      <c r="U121" s="61" t="str">
        <f aca="false">IF($M121="","",$C121*$D121)</f>
        <v/>
      </c>
      <c r="V121" s="61" t="str">
        <f aca="false">IF($M121="","",-N($N121))</f>
        <v/>
      </c>
      <c r="W121" s="61" t="str">
        <f aca="false">IF($M121="","",-($V121-$V121/(1+Datos!$B$2)))</f>
        <v/>
      </c>
      <c r="X121" s="61" t="str">
        <f aca="false">IF($M121="","",-$M121*Datos!$C$2)</f>
        <v/>
      </c>
      <c r="Y121" s="61" t="str">
        <f aca="false">IF($M121="","",IFERROR($M121+$U121+$T121+$P121+$Q121+$R121+$S121+$V121+$W121+$X121,"Error"))</f>
        <v/>
      </c>
      <c r="Z121" s="61" t="str">
        <f aca="false">IF($M121="","",IFERROR($Y121-$E121,"Error"))</f>
        <v/>
      </c>
      <c r="AA121" s="60" t="str">
        <f aca="false">IF($M121="","",IFERROR($Z121/($M121+$T121),"Error"))</f>
        <v/>
      </c>
      <c r="AB121" s="62" t="str">
        <f aca="false">IF($M121="","",IFERROR($M121/$E121,"Error"))</f>
        <v/>
      </c>
      <c r="AD121" s="59"/>
      <c r="AE121" s="57"/>
      <c r="AF121" s="58"/>
      <c r="AG121" s="60" t="str">
        <f aca="false">IF(N($AD121)=0,"",IFERROR(($AD121/(1+$L121)-($AD121*$O121+IF($AD121&lt;=15000,1000,IF($AD121&lt;=25000,2000,IF($AD121&lt;=33000,2400,0)))+N($N121))/(1+Datos!$B$2)-$AD121*Datos!$C$2-$C121)/($AD121/(1+$L121)),"Error"))</f>
        <v/>
      </c>
      <c r="AH121" s="61" t="str">
        <f aca="false">IF(N($AD121)=0,"",IFERROR($AD121/(1+$L121)*(1-$AF121)-($AD121*$O121+IF($AD121&lt;=15000,1000,IF($AD121&lt;=25000,2000,IF($AD121&lt;=33000,2400,0)))+N($N121))/(1+Datos!$B$2)-$AD121*Datos!$C$2,"Error"))</f>
        <v/>
      </c>
      <c r="AI121" s="61" t="str">
        <f aca="false">IF($AH121="","",IFERROR($AH121*(1+$D121),"Error"))</f>
        <v/>
      </c>
      <c r="AJ121" s="60" t="str">
        <f aca="false">IF($AH121="","",IFERROR($C121/$AH121-1,"Error"))</f>
        <v/>
      </c>
      <c r="AK121" s="63" t="str">
        <f aca="false">IF($AH121="","",IFERROR(IF($C121&lt;=$AH121,"OK a ese precio","Bajar costo"),"Error"))</f>
        <v/>
      </c>
    </row>
    <row r="122" customFormat="false" ht="15" hidden="false" customHeight="false" outlineLevel="0" collapsed="false">
      <c r="E122" s="0" t="str">
        <f aca="false">IF($C122="","",$C122*(1+$D122))</f>
        <v/>
      </c>
      <c r="J122" s="57"/>
      <c r="K122" s="57"/>
      <c r="L122" s="58"/>
      <c r="M122" s="59"/>
      <c r="N122" s="59"/>
      <c r="O122" s="60" t="str">
        <f aca="false">IF($M122="","",IFERROR(IF($K122="Clásica",VLOOKUP("Argentina"&amp;$J122,Datos!$C:$D,2,0),VLOOKUP("Argentina"&amp;$J122,Datos!$C:$D,2,0)+VLOOKUP("Argentina"&amp;$K122,Datos!$H:$I,2,0)),"Error"))</f>
        <v/>
      </c>
      <c r="P122" s="61" t="str">
        <f aca="false">IF($M122="","",IFERROR(-$M122*$O122,"Error"))</f>
        <v/>
      </c>
      <c r="Q122" s="61" t="str">
        <f aca="false">IF($M122="","",IFERROR(-($P122-$P122/(1+Datos!$B$2)),"Error"))</f>
        <v/>
      </c>
      <c r="R122" s="61" t="str">
        <f aca="false">IF($M122="","",IF($M122&lt;=15000,-1000,IF($M122&lt;=25000,-2000,IF($M122&lt;=33000,-2400,0))))</f>
        <v/>
      </c>
      <c r="S122" s="61" t="str">
        <f aca="false">IF($M122="","",-($R122-$R122/(1+Datos!$B$2)))</f>
        <v/>
      </c>
      <c r="T122" s="61" t="str">
        <f aca="false">IF($M122="","",-$M122/(1+$L122)*$L122)</f>
        <v/>
      </c>
      <c r="U122" s="61" t="str">
        <f aca="false">IF($M122="","",$C122*$D122)</f>
        <v/>
      </c>
      <c r="V122" s="61" t="str">
        <f aca="false">IF($M122="","",-N($N122))</f>
        <v/>
      </c>
      <c r="W122" s="61" t="str">
        <f aca="false">IF($M122="","",-($V122-$V122/(1+Datos!$B$2)))</f>
        <v/>
      </c>
      <c r="X122" s="61" t="str">
        <f aca="false">IF($M122="","",-$M122*Datos!$C$2)</f>
        <v/>
      </c>
      <c r="Y122" s="61" t="str">
        <f aca="false">IF($M122="","",IFERROR($M122+$U122+$T122+$P122+$Q122+$R122+$S122+$V122+$W122+$X122,"Error"))</f>
        <v/>
      </c>
      <c r="Z122" s="61" t="str">
        <f aca="false">IF($M122="","",IFERROR($Y122-$E122,"Error"))</f>
        <v/>
      </c>
      <c r="AA122" s="60" t="str">
        <f aca="false">IF($M122="","",IFERROR($Z122/($M122+$T122),"Error"))</f>
        <v/>
      </c>
      <c r="AB122" s="62" t="str">
        <f aca="false">IF($M122="","",IFERROR($M122/$E122,"Error"))</f>
        <v/>
      </c>
      <c r="AD122" s="59"/>
      <c r="AE122" s="57"/>
      <c r="AF122" s="58"/>
      <c r="AG122" s="60" t="str">
        <f aca="false">IF(N($AD122)=0,"",IFERROR(($AD122/(1+$L122)-($AD122*$O122+IF($AD122&lt;=15000,1000,IF($AD122&lt;=25000,2000,IF($AD122&lt;=33000,2400,0)))+N($N122))/(1+Datos!$B$2)-$AD122*Datos!$C$2-$C122)/($AD122/(1+$L122)),"Error"))</f>
        <v/>
      </c>
      <c r="AH122" s="61" t="str">
        <f aca="false">IF(N($AD122)=0,"",IFERROR($AD122/(1+$L122)*(1-$AF122)-($AD122*$O122+IF($AD122&lt;=15000,1000,IF($AD122&lt;=25000,2000,IF($AD122&lt;=33000,2400,0)))+N($N122))/(1+Datos!$B$2)-$AD122*Datos!$C$2,"Error"))</f>
        <v/>
      </c>
      <c r="AI122" s="61" t="str">
        <f aca="false">IF($AH122="","",IFERROR($AH122*(1+$D122),"Error"))</f>
        <v/>
      </c>
      <c r="AJ122" s="60" t="str">
        <f aca="false">IF($AH122="","",IFERROR($C122/$AH122-1,"Error"))</f>
        <v/>
      </c>
      <c r="AK122" s="63" t="str">
        <f aca="false">IF($AH122="","",IFERROR(IF($C122&lt;=$AH122,"OK a ese precio","Bajar costo"),"Error"))</f>
        <v/>
      </c>
    </row>
    <row r="123" customFormat="false" ht="15" hidden="false" customHeight="false" outlineLevel="0" collapsed="false">
      <c r="E123" s="0" t="str">
        <f aca="false">IF($C123="","",$C123*(1+$D123))</f>
        <v/>
      </c>
      <c r="J123" s="57"/>
      <c r="K123" s="57"/>
      <c r="L123" s="58"/>
      <c r="M123" s="59"/>
      <c r="N123" s="59"/>
      <c r="O123" s="60" t="str">
        <f aca="false">IF($M123="","",IFERROR(IF($K123="Clásica",VLOOKUP("Argentina"&amp;$J123,Datos!$C:$D,2,0),VLOOKUP("Argentina"&amp;$J123,Datos!$C:$D,2,0)+VLOOKUP("Argentina"&amp;$K123,Datos!$H:$I,2,0)),"Error"))</f>
        <v/>
      </c>
      <c r="P123" s="61" t="str">
        <f aca="false">IF($M123="","",IFERROR(-$M123*$O123,"Error"))</f>
        <v/>
      </c>
      <c r="Q123" s="61" t="str">
        <f aca="false">IF($M123="","",IFERROR(-($P123-$P123/(1+Datos!$B$2)),"Error"))</f>
        <v/>
      </c>
      <c r="R123" s="61" t="str">
        <f aca="false">IF($M123="","",IF($M123&lt;=15000,-1000,IF($M123&lt;=25000,-2000,IF($M123&lt;=33000,-2400,0))))</f>
        <v/>
      </c>
      <c r="S123" s="61" t="str">
        <f aca="false">IF($M123="","",-($R123-$R123/(1+Datos!$B$2)))</f>
        <v/>
      </c>
      <c r="T123" s="61" t="str">
        <f aca="false">IF($M123="","",-$M123/(1+$L123)*$L123)</f>
        <v/>
      </c>
      <c r="U123" s="61" t="str">
        <f aca="false">IF($M123="","",$C123*$D123)</f>
        <v/>
      </c>
      <c r="V123" s="61" t="str">
        <f aca="false">IF($M123="","",-N($N123))</f>
        <v/>
      </c>
      <c r="W123" s="61" t="str">
        <f aca="false">IF($M123="","",-($V123-$V123/(1+Datos!$B$2)))</f>
        <v/>
      </c>
      <c r="X123" s="61" t="str">
        <f aca="false">IF($M123="","",-$M123*Datos!$C$2)</f>
        <v/>
      </c>
      <c r="Y123" s="61" t="str">
        <f aca="false">IF($M123="","",IFERROR($M123+$U123+$T123+$P123+$Q123+$R123+$S123+$V123+$W123+$X123,"Error"))</f>
        <v/>
      </c>
      <c r="Z123" s="61" t="str">
        <f aca="false">IF($M123="","",IFERROR($Y123-$E123,"Error"))</f>
        <v/>
      </c>
      <c r="AA123" s="60" t="str">
        <f aca="false">IF($M123="","",IFERROR($Z123/($M123+$T123),"Error"))</f>
        <v/>
      </c>
      <c r="AB123" s="62" t="str">
        <f aca="false">IF($M123="","",IFERROR($M123/$E123,"Error"))</f>
        <v/>
      </c>
      <c r="AD123" s="59"/>
      <c r="AE123" s="57"/>
      <c r="AF123" s="58"/>
      <c r="AG123" s="60" t="str">
        <f aca="false">IF(N($AD123)=0,"",IFERROR(($AD123/(1+$L123)-($AD123*$O123+IF($AD123&lt;=15000,1000,IF($AD123&lt;=25000,2000,IF($AD123&lt;=33000,2400,0)))+N($N123))/(1+Datos!$B$2)-$AD123*Datos!$C$2-$C123)/($AD123/(1+$L123)),"Error"))</f>
        <v/>
      </c>
      <c r="AH123" s="61" t="str">
        <f aca="false">IF(N($AD123)=0,"",IFERROR($AD123/(1+$L123)*(1-$AF123)-($AD123*$O123+IF($AD123&lt;=15000,1000,IF($AD123&lt;=25000,2000,IF($AD123&lt;=33000,2400,0)))+N($N123))/(1+Datos!$B$2)-$AD123*Datos!$C$2,"Error"))</f>
        <v/>
      </c>
      <c r="AI123" s="61" t="str">
        <f aca="false">IF($AH123="","",IFERROR($AH123*(1+$D123),"Error"))</f>
        <v/>
      </c>
      <c r="AJ123" s="60" t="str">
        <f aca="false">IF($AH123="","",IFERROR($C123/$AH123-1,"Error"))</f>
        <v/>
      </c>
      <c r="AK123" s="63" t="str">
        <f aca="false">IF($AH123="","",IFERROR(IF($C123&lt;=$AH123,"OK a ese precio","Bajar costo"),"Error"))</f>
        <v/>
      </c>
    </row>
    <row r="124" customFormat="false" ht="15" hidden="false" customHeight="false" outlineLevel="0" collapsed="false">
      <c r="E124" s="0" t="str">
        <f aca="false">IF($C124="","",$C124*(1+$D124))</f>
        <v/>
      </c>
      <c r="J124" s="57"/>
      <c r="K124" s="57"/>
      <c r="L124" s="58"/>
      <c r="M124" s="59"/>
      <c r="N124" s="59"/>
      <c r="O124" s="60" t="str">
        <f aca="false">IF($M124="","",IFERROR(IF($K124="Clásica",VLOOKUP("Argentina"&amp;$J124,Datos!$C:$D,2,0),VLOOKUP("Argentina"&amp;$J124,Datos!$C:$D,2,0)+VLOOKUP("Argentina"&amp;$K124,Datos!$H:$I,2,0)),"Error"))</f>
        <v/>
      </c>
      <c r="P124" s="61" t="str">
        <f aca="false">IF($M124="","",IFERROR(-$M124*$O124,"Error"))</f>
        <v/>
      </c>
      <c r="Q124" s="61" t="str">
        <f aca="false">IF($M124="","",IFERROR(-($P124-$P124/(1+Datos!$B$2)),"Error"))</f>
        <v/>
      </c>
      <c r="R124" s="61" t="str">
        <f aca="false">IF($M124="","",IF($M124&lt;=15000,-1000,IF($M124&lt;=25000,-2000,IF($M124&lt;=33000,-2400,0))))</f>
        <v/>
      </c>
      <c r="S124" s="61" t="str">
        <f aca="false">IF($M124="","",-($R124-$R124/(1+Datos!$B$2)))</f>
        <v/>
      </c>
      <c r="T124" s="61" t="str">
        <f aca="false">IF($M124="","",-$M124/(1+$L124)*$L124)</f>
        <v/>
      </c>
      <c r="U124" s="61" t="str">
        <f aca="false">IF($M124="","",$C124*$D124)</f>
        <v/>
      </c>
      <c r="V124" s="61" t="str">
        <f aca="false">IF($M124="","",-N($N124))</f>
        <v/>
      </c>
      <c r="W124" s="61" t="str">
        <f aca="false">IF($M124="","",-($V124-$V124/(1+Datos!$B$2)))</f>
        <v/>
      </c>
      <c r="X124" s="61" t="str">
        <f aca="false">IF($M124="","",-$M124*Datos!$C$2)</f>
        <v/>
      </c>
      <c r="Y124" s="61" t="str">
        <f aca="false">IF($M124="","",IFERROR($M124+$U124+$T124+$P124+$Q124+$R124+$S124+$V124+$W124+$X124,"Error"))</f>
        <v/>
      </c>
      <c r="Z124" s="61" t="str">
        <f aca="false">IF($M124="","",IFERROR($Y124-$E124,"Error"))</f>
        <v/>
      </c>
      <c r="AA124" s="60" t="str">
        <f aca="false">IF($M124="","",IFERROR($Z124/($M124+$T124),"Error"))</f>
        <v/>
      </c>
      <c r="AB124" s="62" t="str">
        <f aca="false">IF($M124="","",IFERROR($M124/$E124,"Error"))</f>
        <v/>
      </c>
      <c r="AD124" s="59"/>
      <c r="AE124" s="57"/>
      <c r="AF124" s="58"/>
      <c r="AG124" s="60" t="str">
        <f aca="false">IF(N($AD124)=0,"",IFERROR(($AD124/(1+$L124)-($AD124*$O124+IF($AD124&lt;=15000,1000,IF($AD124&lt;=25000,2000,IF($AD124&lt;=33000,2400,0)))+N($N124))/(1+Datos!$B$2)-$AD124*Datos!$C$2-$C124)/($AD124/(1+$L124)),"Error"))</f>
        <v/>
      </c>
      <c r="AH124" s="61" t="str">
        <f aca="false">IF(N($AD124)=0,"",IFERROR($AD124/(1+$L124)*(1-$AF124)-($AD124*$O124+IF($AD124&lt;=15000,1000,IF($AD124&lt;=25000,2000,IF($AD124&lt;=33000,2400,0)))+N($N124))/(1+Datos!$B$2)-$AD124*Datos!$C$2,"Error"))</f>
        <v/>
      </c>
      <c r="AI124" s="61" t="str">
        <f aca="false">IF($AH124="","",IFERROR($AH124*(1+$D124),"Error"))</f>
        <v/>
      </c>
      <c r="AJ124" s="60" t="str">
        <f aca="false">IF($AH124="","",IFERROR($C124/$AH124-1,"Error"))</f>
        <v/>
      </c>
      <c r="AK124" s="63" t="str">
        <f aca="false">IF($AH124="","",IFERROR(IF($C124&lt;=$AH124,"OK a ese precio","Bajar costo"),"Error"))</f>
        <v/>
      </c>
    </row>
    <row r="125" customFormat="false" ht="15" hidden="false" customHeight="false" outlineLevel="0" collapsed="false">
      <c r="E125" s="0" t="str">
        <f aca="false">IF($C125="","",$C125*(1+$D125))</f>
        <v/>
      </c>
      <c r="J125" s="57"/>
      <c r="K125" s="57"/>
      <c r="L125" s="58"/>
      <c r="M125" s="59"/>
      <c r="N125" s="59"/>
      <c r="O125" s="60" t="str">
        <f aca="false">IF($M125="","",IFERROR(IF($K125="Clásica",VLOOKUP("Argentina"&amp;$J125,Datos!$C:$D,2,0),VLOOKUP("Argentina"&amp;$J125,Datos!$C:$D,2,0)+VLOOKUP("Argentina"&amp;$K125,Datos!$H:$I,2,0)),"Error"))</f>
        <v/>
      </c>
      <c r="P125" s="61" t="str">
        <f aca="false">IF($M125="","",IFERROR(-$M125*$O125,"Error"))</f>
        <v/>
      </c>
      <c r="Q125" s="61" t="str">
        <f aca="false">IF($M125="","",IFERROR(-($P125-$P125/(1+Datos!$B$2)),"Error"))</f>
        <v/>
      </c>
      <c r="R125" s="61" t="str">
        <f aca="false">IF($M125="","",IF($M125&lt;=15000,-1000,IF($M125&lt;=25000,-2000,IF($M125&lt;=33000,-2400,0))))</f>
        <v/>
      </c>
      <c r="S125" s="61" t="str">
        <f aca="false">IF($M125="","",-($R125-$R125/(1+Datos!$B$2)))</f>
        <v/>
      </c>
      <c r="T125" s="61" t="str">
        <f aca="false">IF($M125="","",-$M125/(1+$L125)*$L125)</f>
        <v/>
      </c>
      <c r="U125" s="61" t="str">
        <f aca="false">IF($M125="","",$C125*$D125)</f>
        <v/>
      </c>
      <c r="V125" s="61" t="str">
        <f aca="false">IF($M125="","",-N($N125))</f>
        <v/>
      </c>
      <c r="W125" s="61" t="str">
        <f aca="false">IF($M125="","",-($V125-$V125/(1+Datos!$B$2)))</f>
        <v/>
      </c>
      <c r="X125" s="61" t="str">
        <f aca="false">IF($M125="","",-$M125*Datos!$C$2)</f>
        <v/>
      </c>
      <c r="Y125" s="61" t="str">
        <f aca="false">IF($M125="","",IFERROR($M125+$U125+$T125+$P125+$Q125+$R125+$S125+$V125+$W125+$X125,"Error"))</f>
        <v/>
      </c>
      <c r="Z125" s="61" t="str">
        <f aca="false">IF($M125="","",IFERROR($Y125-$E125,"Error"))</f>
        <v/>
      </c>
      <c r="AA125" s="60" t="str">
        <f aca="false">IF($M125="","",IFERROR($Z125/($M125+$T125),"Error"))</f>
        <v/>
      </c>
      <c r="AB125" s="62" t="str">
        <f aca="false">IF($M125="","",IFERROR($M125/$E125,"Error"))</f>
        <v/>
      </c>
      <c r="AD125" s="59"/>
      <c r="AE125" s="57"/>
      <c r="AF125" s="58"/>
      <c r="AG125" s="60" t="str">
        <f aca="false">IF(N($AD125)=0,"",IFERROR(($AD125/(1+$L125)-($AD125*$O125+IF($AD125&lt;=15000,1000,IF($AD125&lt;=25000,2000,IF($AD125&lt;=33000,2400,0)))+N($N125))/(1+Datos!$B$2)-$AD125*Datos!$C$2-$C125)/($AD125/(1+$L125)),"Error"))</f>
        <v/>
      </c>
      <c r="AH125" s="61" t="str">
        <f aca="false">IF(N($AD125)=0,"",IFERROR($AD125/(1+$L125)*(1-$AF125)-($AD125*$O125+IF($AD125&lt;=15000,1000,IF($AD125&lt;=25000,2000,IF($AD125&lt;=33000,2400,0)))+N($N125))/(1+Datos!$B$2)-$AD125*Datos!$C$2,"Error"))</f>
        <v/>
      </c>
      <c r="AI125" s="61" t="str">
        <f aca="false">IF($AH125="","",IFERROR($AH125*(1+$D125),"Error"))</f>
        <v/>
      </c>
      <c r="AJ125" s="60" t="str">
        <f aca="false">IF($AH125="","",IFERROR($C125/$AH125-1,"Error"))</f>
        <v/>
      </c>
      <c r="AK125" s="63" t="str">
        <f aca="false">IF($AH125="","",IFERROR(IF($C125&lt;=$AH125,"OK a ese precio","Bajar costo"),"Error"))</f>
        <v/>
      </c>
    </row>
    <row r="126" customFormat="false" ht="15" hidden="false" customHeight="false" outlineLevel="0" collapsed="false">
      <c r="E126" s="0" t="str">
        <f aca="false">IF($C126="","",$C126*(1+$D126))</f>
        <v/>
      </c>
      <c r="J126" s="57"/>
      <c r="K126" s="57"/>
      <c r="L126" s="58"/>
      <c r="M126" s="59"/>
      <c r="N126" s="59"/>
      <c r="O126" s="60" t="str">
        <f aca="false">IF($M126="","",IFERROR(IF($K126="Clásica",VLOOKUP("Argentina"&amp;$J126,Datos!$C:$D,2,0),VLOOKUP("Argentina"&amp;$J126,Datos!$C:$D,2,0)+VLOOKUP("Argentina"&amp;$K126,Datos!$H:$I,2,0)),"Error"))</f>
        <v/>
      </c>
      <c r="P126" s="61" t="str">
        <f aca="false">IF($M126="","",IFERROR(-$M126*$O126,"Error"))</f>
        <v/>
      </c>
      <c r="Q126" s="61" t="str">
        <f aca="false">IF($M126="","",IFERROR(-($P126-$P126/(1+Datos!$B$2)),"Error"))</f>
        <v/>
      </c>
      <c r="R126" s="61" t="str">
        <f aca="false">IF($M126="","",IF($M126&lt;=15000,-1000,IF($M126&lt;=25000,-2000,IF($M126&lt;=33000,-2400,0))))</f>
        <v/>
      </c>
      <c r="S126" s="61" t="str">
        <f aca="false">IF($M126="","",-($R126-$R126/(1+Datos!$B$2)))</f>
        <v/>
      </c>
      <c r="T126" s="61" t="str">
        <f aca="false">IF($M126="","",-$M126/(1+$L126)*$L126)</f>
        <v/>
      </c>
      <c r="U126" s="61" t="str">
        <f aca="false">IF($M126="","",$C126*$D126)</f>
        <v/>
      </c>
      <c r="V126" s="61" t="str">
        <f aca="false">IF($M126="","",-N($N126))</f>
        <v/>
      </c>
      <c r="W126" s="61" t="str">
        <f aca="false">IF($M126="","",-($V126-$V126/(1+Datos!$B$2)))</f>
        <v/>
      </c>
      <c r="X126" s="61" t="str">
        <f aca="false">IF($M126="","",-$M126*Datos!$C$2)</f>
        <v/>
      </c>
      <c r="Y126" s="61" t="str">
        <f aca="false">IF($M126="","",IFERROR($M126+$U126+$T126+$P126+$Q126+$R126+$S126+$V126+$W126+$X126,"Error"))</f>
        <v/>
      </c>
      <c r="Z126" s="61" t="str">
        <f aca="false">IF($M126="","",IFERROR($Y126-$E126,"Error"))</f>
        <v/>
      </c>
      <c r="AA126" s="60" t="str">
        <f aca="false">IF($M126="","",IFERROR($Z126/($M126+$T126),"Error"))</f>
        <v/>
      </c>
      <c r="AB126" s="62" t="str">
        <f aca="false">IF($M126="","",IFERROR($M126/$E126,"Error"))</f>
        <v/>
      </c>
      <c r="AD126" s="59"/>
      <c r="AE126" s="57"/>
      <c r="AF126" s="58"/>
      <c r="AG126" s="60" t="str">
        <f aca="false">IF(N($AD126)=0,"",IFERROR(($AD126/(1+$L126)-($AD126*$O126+IF($AD126&lt;=15000,1000,IF($AD126&lt;=25000,2000,IF($AD126&lt;=33000,2400,0)))+N($N126))/(1+Datos!$B$2)-$AD126*Datos!$C$2-$C126)/($AD126/(1+$L126)),"Error"))</f>
        <v/>
      </c>
      <c r="AH126" s="61" t="str">
        <f aca="false">IF(N($AD126)=0,"",IFERROR($AD126/(1+$L126)*(1-$AF126)-($AD126*$O126+IF($AD126&lt;=15000,1000,IF($AD126&lt;=25000,2000,IF($AD126&lt;=33000,2400,0)))+N($N126))/(1+Datos!$B$2)-$AD126*Datos!$C$2,"Error"))</f>
        <v/>
      </c>
      <c r="AI126" s="61" t="str">
        <f aca="false">IF($AH126="","",IFERROR($AH126*(1+$D126),"Error"))</f>
        <v/>
      </c>
      <c r="AJ126" s="60" t="str">
        <f aca="false">IF($AH126="","",IFERROR($C126/$AH126-1,"Error"))</f>
        <v/>
      </c>
      <c r="AK126" s="63" t="str">
        <f aca="false">IF($AH126="","",IFERROR(IF($C126&lt;=$AH126,"OK a ese precio","Bajar costo"),"Error"))</f>
        <v/>
      </c>
    </row>
    <row r="127" customFormat="false" ht="15" hidden="false" customHeight="false" outlineLevel="0" collapsed="false">
      <c r="E127" s="0" t="str">
        <f aca="false">IF($C127="","",$C127*(1+$D127))</f>
        <v/>
      </c>
      <c r="J127" s="57"/>
      <c r="K127" s="57"/>
      <c r="L127" s="58"/>
      <c r="M127" s="59"/>
      <c r="N127" s="59"/>
      <c r="O127" s="60" t="str">
        <f aca="false">IF($M127="","",IFERROR(IF($K127="Clásica",VLOOKUP("Argentina"&amp;$J127,Datos!$C:$D,2,0),VLOOKUP("Argentina"&amp;$J127,Datos!$C:$D,2,0)+VLOOKUP("Argentina"&amp;$K127,Datos!$H:$I,2,0)),"Error"))</f>
        <v/>
      </c>
      <c r="P127" s="61" t="str">
        <f aca="false">IF($M127="","",IFERROR(-$M127*$O127,"Error"))</f>
        <v/>
      </c>
      <c r="Q127" s="61" t="str">
        <f aca="false">IF($M127="","",IFERROR(-($P127-$P127/(1+Datos!$B$2)),"Error"))</f>
        <v/>
      </c>
      <c r="R127" s="61" t="str">
        <f aca="false">IF($M127="","",IF($M127&lt;=15000,-1000,IF($M127&lt;=25000,-2000,IF($M127&lt;=33000,-2400,0))))</f>
        <v/>
      </c>
      <c r="S127" s="61" t="str">
        <f aca="false">IF($M127="","",-($R127-$R127/(1+Datos!$B$2)))</f>
        <v/>
      </c>
      <c r="T127" s="61" t="str">
        <f aca="false">IF($M127="","",-$M127/(1+$L127)*$L127)</f>
        <v/>
      </c>
      <c r="U127" s="61" t="str">
        <f aca="false">IF($M127="","",$C127*$D127)</f>
        <v/>
      </c>
      <c r="V127" s="61" t="str">
        <f aca="false">IF($M127="","",-N($N127))</f>
        <v/>
      </c>
      <c r="W127" s="61" t="str">
        <f aca="false">IF($M127="","",-($V127-$V127/(1+Datos!$B$2)))</f>
        <v/>
      </c>
      <c r="X127" s="61" t="str">
        <f aca="false">IF($M127="","",-$M127*Datos!$C$2)</f>
        <v/>
      </c>
      <c r="Y127" s="61" t="str">
        <f aca="false">IF($M127="","",IFERROR($M127+$U127+$T127+$P127+$Q127+$R127+$S127+$V127+$W127+$X127,"Error"))</f>
        <v/>
      </c>
      <c r="Z127" s="61" t="str">
        <f aca="false">IF($M127="","",IFERROR($Y127-$E127,"Error"))</f>
        <v/>
      </c>
      <c r="AA127" s="60" t="str">
        <f aca="false">IF($M127="","",IFERROR($Z127/($M127+$T127),"Error"))</f>
        <v/>
      </c>
      <c r="AB127" s="62" t="str">
        <f aca="false">IF($M127="","",IFERROR($M127/$E127,"Error"))</f>
        <v/>
      </c>
      <c r="AD127" s="59"/>
      <c r="AE127" s="57"/>
      <c r="AF127" s="58"/>
      <c r="AG127" s="60" t="str">
        <f aca="false">IF(N($AD127)=0,"",IFERROR(($AD127/(1+$L127)-($AD127*$O127+IF($AD127&lt;=15000,1000,IF($AD127&lt;=25000,2000,IF($AD127&lt;=33000,2400,0)))+N($N127))/(1+Datos!$B$2)-$AD127*Datos!$C$2-$C127)/($AD127/(1+$L127)),"Error"))</f>
        <v/>
      </c>
      <c r="AH127" s="61" t="str">
        <f aca="false">IF(N($AD127)=0,"",IFERROR($AD127/(1+$L127)*(1-$AF127)-($AD127*$O127+IF($AD127&lt;=15000,1000,IF($AD127&lt;=25000,2000,IF($AD127&lt;=33000,2400,0)))+N($N127))/(1+Datos!$B$2)-$AD127*Datos!$C$2,"Error"))</f>
        <v/>
      </c>
      <c r="AI127" s="61" t="str">
        <f aca="false">IF($AH127="","",IFERROR($AH127*(1+$D127),"Error"))</f>
        <v/>
      </c>
      <c r="AJ127" s="60" t="str">
        <f aca="false">IF($AH127="","",IFERROR($C127/$AH127-1,"Error"))</f>
        <v/>
      </c>
      <c r="AK127" s="63" t="str">
        <f aca="false">IF($AH127="","",IFERROR(IF($C127&lt;=$AH127,"OK a ese precio","Bajar costo"),"Error"))</f>
        <v/>
      </c>
    </row>
    <row r="128" customFormat="false" ht="15" hidden="false" customHeight="false" outlineLevel="0" collapsed="false">
      <c r="E128" s="0" t="str">
        <f aca="false">IF($C128="","",$C128*(1+$D128))</f>
        <v/>
      </c>
      <c r="J128" s="57"/>
      <c r="K128" s="57"/>
      <c r="L128" s="58"/>
      <c r="M128" s="59"/>
      <c r="N128" s="59"/>
      <c r="O128" s="60" t="str">
        <f aca="false">IF($M128="","",IFERROR(IF($K128="Clásica",VLOOKUP("Argentina"&amp;$J128,Datos!$C:$D,2,0),VLOOKUP("Argentina"&amp;$J128,Datos!$C:$D,2,0)+VLOOKUP("Argentina"&amp;$K128,Datos!$H:$I,2,0)),"Error"))</f>
        <v/>
      </c>
      <c r="P128" s="61" t="str">
        <f aca="false">IF($M128="","",IFERROR(-$M128*$O128,"Error"))</f>
        <v/>
      </c>
      <c r="Q128" s="61" t="str">
        <f aca="false">IF($M128="","",IFERROR(-($P128-$P128/(1+Datos!$B$2)),"Error"))</f>
        <v/>
      </c>
      <c r="R128" s="61" t="str">
        <f aca="false">IF($M128="","",IF($M128&lt;=15000,-1000,IF($M128&lt;=25000,-2000,IF($M128&lt;=33000,-2400,0))))</f>
        <v/>
      </c>
      <c r="S128" s="61" t="str">
        <f aca="false">IF($M128="","",-($R128-$R128/(1+Datos!$B$2)))</f>
        <v/>
      </c>
      <c r="T128" s="61" t="str">
        <f aca="false">IF($M128="","",-$M128/(1+$L128)*$L128)</f>
        <v/>
      </c>
      <c r="U128" s="61" t="str">
        <f aca="false">IF($M128="","",$C128*$D128)</f>
        <v/>
      </c>
      <c r="V128" s="61" t="str">
        <f aca="false">IF($M128="","",-N($N128))</f>
        <v/>
      </c>
      <c r="W128" s="61" t="str">
        <f aca="false">IF($M128="","",-($V128-$V128/(1+Datos!$B$2)))</f>
        <v/>
      </c>
      <c r="X128" s="61" t="str">
        <f aca="false">IF($M128="","",-$M128*Datos!$C$2)</f>
        <v/>
      </c>
      <c r="Y128" s="61" t="str">
        <f aca="false">IF($M128="","",IFERROR($M128+$U128+$T128+$P128+$Q128+$R128+$S128+$V128+$W128+$X128,"Error"))</f>
        <v/>
      </c>
      <c r="Z128" s="61" t="str">
        <f aca="false">IF($M128="","",IFERROR($Y128-$E128,"Error"))</f>
        <v/>
      </c>
      <c r="AA128" s="60" t="str">
        <f aca="false">IF($M128="","",IFERROR($Z128/($M128+$T128),"Error"))</f>
        <v/>
      </c>
      <c r="AB128" s="62" t="str">
        <f aca="false">IF($M128="","",IFERROR($M128/$E128,"Error"))</f>
        <v/>
      </c>
      <c r="AD128" s="59"/>
      <c r="AE128" s="57"/>
      <c r="AF128" s="58"/>
      <c r="AG128" s="60" t="str">
        <f aca="false">IF(N($AD128)=0,"",IFERROR(($AD128/(1+$L128)-($AD128*$O128+IF($AD128&lt;=15000,1000,IF($AD128&lt;=25000,2000,IF($AD128&lt;=33000,2400,0)))+N($N128))/(1+Datos!$B$2)-$AD128*Datos!$C$2-$C128)/($AD128/(1+$L128)),"Error"))</f>
        <v/>
      </c>
      <c r="AH128" s="61" t="str">
        <f aca="false">IF(N($AD128)=0,"",IFERROR($AD128/(1+$L128)*(1-$AF128)-($AD128*$O128+IF($AD128&lt;=15000,1000,IF($AD128&lt;=25000,2000,IF($AD128&lt;=33000,2400,0)))+N($N128))/(1+Datos!$B$2)-$AD128*Datos!$C$2,"Error"))</f>
        <v/>
      </c>
      <c r="AI128" s="61" t="str">
        <f aca="false">IF($AH128="","",IFERROR($AH128*(1+$D128),"Error"))</f>
        <v/>
      </c>
      <c r="AJ128" s="60" t="str">
        <f aca="false">IF($AH128="","",IFERROR($C128/$AH128-1,"Error"))</f>
        <v/>
      </c>
      <c r="AK128" s="63" t="str">
        <f aca="false">IF($AH128="","",IFERROR(IF($C128&lt;=$AH128,"OK a ese precio","Bajar costo"),"Error"))</f>
        <v/>
      </c>
    </row>
    <row r="129" customFormat="false" ht="15" hidden="false" customHeight="false" outlineLevel="0" collapsed="false">
      <c r="E129" s="0" t="str">
        <f aca="false">IF($C129="","",$C129*(1+$D129))</f>
        <v/>
      </c>
      <c r="J129" s="57"/>
      <c r="K129" s="57"/>
      <c r="L129" s="58"/>
      <c r="M129" s="59"/>
      <c r="N129" s="59"/>
      <c r="O129" s="60" t="str">
        <f aca="false">IF($M129="","",IFERROR(IF($K129="Clásica",VLOOKUP("Argentina"&amp;$J129,Datos!$C:$D,2,0),VLOOKUP("Argentina"&amp;$J129,Datos!$C:$D,2,0)+VLOOKUP("Argentina"&amp;$K129,Datos!$H:$I,2,0)),"Error"))</f>
        <v/>
      </c>
      <c r="P129" s="61" t="str">
        <f aca="false">IF($M129="","",IFERROR(-$M129*$O129,"Error"))</f>
        <v/>
      </c>
      <c r="Q129" s="61" t="str">
        <f aca="false">IF($M129="","",IFERROR(-($P129-$P129/(1+Datos!$B$2)),"Error"))</f>
        <v/>
      </c>
      <c r="R129" s="61" t="str">
        <f aca="false">IF($M129="","",IF($M129&lt;=15000,-1000,IF($M129&lt;=25000,-2000,IF($M129&lt;=33000,-2400,0))))</f>
        <v/>
      </c>
      <c r="S129" s="61" t="str">
        <f aca="false">IF($M129="","",-($R129-$R129/(1+Datos!$B$2)))</f>
        <v/>
      </c>
      <c r="T129" s="61" t="str">
        <f aca="false">IF($M129="","",-$M129/(1+$L129)*$L129)</f>
        <v/>
      </c>
      <c r="U129" s="61" t="str">
        <f aca="false">IF($M129="","",$C129*$D129)</f>
        <v/>
      </c>
      <c r="V129" s="61" t="str">
        <f aca="false">IF($M129="","",-N($N129))</f>
        <v/>
      </c>
      <c r="W129" s="61" t="str">
        <f aca="false">IF($M129="","",-($V129-$V129/(1+Datos!$B$2)))</f>
        <v/>
      </c>
      <c r="X129" s="61" t="str">
        <f aca="false">IF($M129="","",-$M129*Datos!$C$2)</f>
        <v/>
      </c>
      <c r="Y129" s="61" t="str">
        <f aca="false">IF($M129="","",IFERROR($M129+$U129+$T129+$P129+$Q129+$R129+$S129+$V129+$W129+$X129,"Error"))</f>
        <v/>
      </c>
      <c r="Z129" s="61" t="str">
        <f aca="false">IF($M129="","",IFERROR($Y129-$E129,"Error"))</f>
        <v/>
      </c>
      <c r="AA129" s="60" t="str">
        <f aca="false">IF($M129="","",IFERROR($Z129/($M129+$T129),"Error"))</f>
        <v/>
      </c>
      <c r="AB129" s="62" t="str">
        <f aca="false">IF($M129="","",IFERROR($M129/$E129,"Error"))</f>
        <v/>
      </c>
      <c r="AD129" s="59"/>
      <c r="AE129" s="57"/>
      <c r="AF129" s="58"/>
      <c r="AG129" s="60" t="str">
        <f aca="false">IF(N($AD129)=0,"",IFERROR(($AD129/(1+$L129)-($AD129*$O129+IF($AD129&lt;=15000,1000,IF($AD129&lt;=25000,2000,IF($AD129&lt;=33000,2400,0)))+N($N129))/(1+Datos!$B$2)-$AD129*Datos!$C$2-$C129)/($AD129/(1+$L129)),"Error"))</f>
        <v/>
      </c>
      <c r="AH129" s="61" t="str">
        <f aca="false">IF(N($AD129)=0,"",IFERROR($AD129/(1+$L129)*(1-$AF129)-($AD129*$O129+IF($AD129&lt;=15000,1000,IF($AD129&lt;=25000,2000,IF($AD129&lt;=33000,2400,0)))+N($N129))/(1+Datos!$B$2)-$AD129*Datos!$C$2,"Error"))</f>
        <v/>
      </c>
      <c r="AI129" s="61" t="str">
        <f aca="false">IF($AH129="","",IFERROR($AH129*(1+$D129),"Error"))</f>
        <v/>
      </c>
      <c r="AJ129" s="60" t="str">
        <f aca="false">IF($AH129="","",IFERROR($C129/$AH129-1,"Error"))</f>
        <v/>
      </c>
      <c r="AK129" s="63" t="str">
        <f aca="false">IF($AH129="","",IFERROR(IF($C129&lt;=$AH129,"OK a ese precio","Bajar costo"),"Error"))</f>
        <v/>
      </c>
    </row>
    <row r="130" customFormat="false" ht="15" hidden="false" customHeight="false" outlineLevel="0" collapsed="false">
      <c r="E130" s="0" t="str">
        <f aca="false">IF($C130="","",$C130*(1+$D130))</f>
        <v/>
      </c>
      <c r="J130" s="57"/>
      <c r="K130" s="57"/>
      <c r="L130" s="58"/>
      <c r="M130" s="59"/>
      <c r="N130" s="59"/>
      <c r="O130" s="60" t="str">
        <f aca="false">IF($M130="","",IFERROR(IF($K130="Clásica",VLOOKUP("Argentina"&amp;$J130,Datos!$C:$D,2,0),VLOOKUP("Argentina"&amp;$J130,Datos!$C:$D,2,0)+VLOOKUP("Argentina"&amp;$K130,Datos!$H:$I,2,0)),"Error"))</f>
        <v/>
      </c>
      <c r="P130" s="61" t="str">
        <f aca="false">IF($M130="","",IFERROR(-$M130*$O130,"Error"))</f>
        <v/>
      </c>
      <c r="Q130" s="61" t="str">
        <f aca="false">IF($M130="","",IFERROR(-($P130-$P130/(1+Datos!$B$2)),"Error"))</f>
        <v/>
      </c>
      <c r="R130" s="61" t="str">
        <f aca="false">IF($M130="","",IF($M130&lt;=15000,-1000,IF($M130&lt;=25000,-2000,IF($M130&lt;=33000,-2400,0))))</f>
        <v/>
      </c>
      <c r="S130" s="61" t="str">
        <f aca="false">IF($M130="","",-($R130-$R130/(1+Datos!$B$2)))</f>
        <v/>
      </c>
      <c r="T130" s="61" t="str">
        <f aca="false">IF($M130="","",-$M130/(1+$L130)*$L130)</f>
        <v/>
      </c>
      <c r="U130" s="61" t="str">
        <f aca="false">IF($M130="","",$C130*$D130)</f>
        <v/>
      </c>
      <c r="V130" s="61" t="str">
        <f aca="false">IF($M130="","",-N($N130))</f>
        <v/>
      </c>
      <c r="W130" s="61" t="str">
        <f aca="false">IF($M130="","",-($V130-$V130/(1+Datos!$B$2)))</f>
        <v/>
      </c>
      <c r="X130" s="61" t="str">
        <f aca="false">IF($M130="","",-$M130*Datos!$C$2)</f>
        <v/>
      </c>
      <c r="Y130" s="61" t="str">
        <f aca="false">IF($M130="","",IFERROR($M130+$U130+$T130+$P130+$Q130+$R130+$S130+$V130+$W130+$X130,"Error"))</f>
        <v/>
      </c>
      <c r="Z130" s="61" t="str">
        <f aca="false">IF($M130="","",IFERROR($Y130-$E130,"Error"))</f>
        <v/>
      </c>
      <c r="AA130" s="60" t="str">
        <f aca="false">IF($M130="","",IFERROR($Z130/($M130+$T130),"Error"))</f>
        <v/>
      </c>
      <c r="AB130" s="62" t="str">
        <f aca="false">IF($M130="","",IFERROR($M130/$E130,"Error"))</f>
        <v/>
      </c>
      <c r="AD130" s="59"/>
      <c r="AE130" s="57"/>
      <c r="AF130" s="58"/>
      <c r="AG130" s="60" t="str">
        <f aca="false">IF(N($AD130)=0,"",IFERROR(($AD130/(1+$L130)-($AD130*$O130+IF($AD130&lt;=15000,1000,IF($AD130&lt;=25000,2000,IF($AD130&lt;=33000,2400,0)))+N($N130))/(1+Datos!$B$2)-$AD130*Datos!$C$2-$C130)/($AD130/(1+$L130)),"Error"))</f>
        <v/>
      </c>
      <c r="AH130" s="61" t="str">
        <f aca="false">IF(N($AD130)=0,"",IFERROR($AD130/(1+$L130)*(1-$AF130)-($AD130*$O130+IF($AD130&lt;=15000,1000,IF($AD130&lt;=25000,2000,IF($AD130&lt;=33000,2400,0)))+N($N130))/(1+Datos!$B$2)-$AD130*Datos!$C$2,"Error"))</f>
        <v/>
      </c>
      <c r="AI130" s="61" t="str">
        <f aca="false">IF($AH130="","",IFERROR($AH130*(1+$D130),"Error"))</f>
        <v/>
      </c>
      <c r="AJ130" s="60" t="str">
        <f aca="false">IF($AH130="","",IFERROR($C130/$AH130-1,"Error"))</f>
        <v/>
      </c>
      <c r="AK130" s="63" t="str">
        <f aca="false">IF($AH130="","",IFERROR(IF($C130&lt;=$AH130,"OK a ese precio","Bajar costo"),"Error"))</f>
        <v/>
      </c>
    </row>
    <row r="131" customFormat="false" ht="15" hidden="false" customHeight="false" outlineLevel="0" collapsed="false">
      <c r="E131" s="0" t="str">
        <f aca="false">IF($C131="","",$C131*(1+$D131))</f>
        <v/>
      </c>
      <c r="J131" s="57"/>
      <c r="K131" s="57"/>
      <c r="L131" s="58"/>
      <c r="M131" s="59"/>
      <c r="N131" s="59"/>
      <c r="O131" s="60" t="str">
        <f aca="false">IF($M131="","",IFERROR(IF($K131="Clásica",VLOOKUP("Argentina"&amp;$J131,Datos!$C:$D,2,0),VLOOKUP("Argentina"&amp;$J131,Datos!$C:$D,2,0)+VLOOKUP("Argentina"&amp;$K131,Datos!$H:$I,2,0)),"Error"))</f>
        <v/>
      </c>
      <c r="P131" s="61" t="str">
        <f aca="false">IF($M131="","",IFERROR(-$M131*$O131,"Error"))</f>
        <v/>
      </c>
      <c r="Q131" s="61" t="str">
        <f aca="false">IF($M131="","",IFERROR(-($P131-$P131/(1+Datos!$B$2)),"Error"))</f>
        <v/>
      </c>
      <c r="R131" s="61" t="str">
        <f aca="false">IF($M131="","",IF($M131&lt;=15000,-1000,IF($M131&lt;=25000,-2000,IF($M131&lt;=33000,-2400,0))))</f>
        <v/>
      </c>
      <c r="S131" s="61" t="str">
        <f aca="false">IF($M131="","",-($R131-$R131/(1+Datos!$B$2)))</f>
        <v/>
      </c>
      <c r="T131" s="61" t="str">
        <f aca="false">IF($M131="","",-$M131/(1+$L131)*$L131)</f>
        <v/>
      </c>
      <c r="U131" s="61" t="str">
        <f aca="false">IF($M131="","",$C131*$D131)</f>
        <v/>
      </c>
      <c r="V131" s="61" t="str">
        <f aca="false">IF($M131="","",-N($N131))</f>
        <v/>
      </c>
      <c r="W131" s="61" t="str">
        <f aca="false">IF($M131="","",-($V131-$V131/(1+Datos!$B$2)))</f>
        <v/>
      </c>
      <c r="X131" s="61" t="str">
        <f aca="false">IF($M131="","",-$M131*Datos!$C$2)</f>
        <v/>
      </c>
      <c r="Y131" s="61" t="str">
        <f aca="false">IF($M131="","",IFERROR($M131+$U131+$T131+$P131+$Q131+$R131+$S131+$V131+$W131+$X131,"Error"))</f>
        <v/>
      </c>
      <c r="Z131" s="61" t="str">
        <f aca="false">IF($M131="","",IFERROR($Y131-$E131,"Error"))</f>
        <v/>
      </c>
      <c r="AA131" s="60" t="str">
        <f aca="false">IF($M131="","",IFERROR($Z131/($M131+$T131),"Error"))</f>
        <v/>
      </c>
      <c r="AB131" s="62" t="str">
        <f aca="false">IF($M131="","",IFERROR($M131/$E131,"Error"))</f>
        <v/>
      </c>
      <c r="AD131" s="59"/>
      <c r="AE131" s="57"/>
      <c r="AF131" s="58"/>
      <c r="AG131" s="60" t="str">
        <f aca="false">IF(N($AD131)=0,"",IFERROR(($AD131/(1+$L131)-($AD131*$O131+IF($AD131&lt;=15000,1000,IF($AD131&lt;=25000,2000,IF($AD131&lt;=33000,2400,0)))+N($N131))/(1+Datos!$B$2)-$AD131*Datos!$C$2-$C131)/($AD131/(1+$L131)),"Error"))</f>
        <v/>
      </c>
      <c r="AH131" s="61" t="str">
        <f aca="false">IF(N($AD131)=0,"",IFERROR($AD131/(1+$L131)*(1-$AF131)-($AD131*$O131+IF($AD131&lt;=15000,1000,IF($AD131&lt;=25000,2000,IF($AD131&lt;=33000,2400,0)))+N($N131))/(1+Datos!$B$2)-$AD131*Datos!$C$2,"Error"))</f>
        <v/>
      </c>
      <c r="AI131" s="61" t="str">
        <f aca="false">IF($AH131="","",IFERROR($AH131*(1+$D131),"Error"))</f>
        <v/>
      </c>
      <c r="AJ131" s="60" t="str">
        <f aca="false">IF($AH131="","",IFERROR($C131/$AH131-1,"Error"))</f>
        <v/>
      </c>
      <c r="AK131" s="63" t="str">
        <f aca="false">IF($AH131="","",IFERROR(IF($C131&lt;=$AH131,"OK a ese precio","Bajar costo"),"Error"))</f>
        <v/>
      </c>
    </row>
    <row r="132" customFormat="false" ht="15" hidden="false" customHeight="false" outlineLevel="0" collapsed="false">
      <c r="E132" s="0" t="str">
        <f aca="false">IF($C132="","",$C132*(1+$D132))</f>
        <v/>
      </c>
      <c r="J132" s="57"/>
      <c r="K132" s="57"/>
      <c r="L132" s="58"/>
      <c r="M132" s="59"/>
      <c r="N132" s="59"/>
      <c r="O132" s="60" t="str">
        <f aca="false">IF($M132="","",IFERROR(IF($K132="Clásica",VLOOKUP("Argentina"&amp;$J132,Datos!$C:$D,2,0),VLOOKUP("Argentina"&amp;$J132,Datos!$C:$D,2,0)+VLOOKUP("Argentina"&amp;$K132,Datos!$H:$I,2,0)),"Error"))</f>
        <v/>
      </c>
      <c r="P132" s="61" t="str">
        <f aca="false">IF($M132="","",IFERROR(-$M132*$O132,"Error"))</f>
        <v/>
      </c>
      <c r="Q132" s="61" t="str">
        <f aca="false">IF($M132="","",IFERROR(-($P132-$P132/(1+Datos!$B$2)),"Error"))</f>
        <v/>
      </c>
      <c r="R132" s="61" t="str">
        <f aca="false">IF($M132="","",IF($M132&lt;=15000,-1000,IF($M132&lt;=25000,-2000,IF($M132&lt;=33000,-2400,0))))</f>
        <v/>
      </c>
      <c r="S132" s="61" t="str">
        <f aca="false">IF($M132="","",-($R132-$R132/(1+Datos!$B$2)))</f>
        <v/>
      </c>
      <c r="T132" s="61" t="str">
        <f aca="false">IF($M132="","",-$M132/(1+$L132)*$L132)</f>
        <v/>
      </c>
      <c r="U132" s="61" t="str">
        <f aca="false">IF($M132="","",$C132*$D132)</f>
        <v/>
      </c>
      <c r="V132" s="61" t="str">
        <f aca="false">IF($M132="","",-N($N132))</f>
        <v/>
      </c>
      <c r="W132" s="61" t="str">
        <f aca="false">IF($M132="","",-($V132-$V132/(1+Datos!$B$2)))</f>
        <v/>
      </c>
      <c r="X132" s="61" t="str">
        <f aca="false">IF($M132="","",-$M132*Datos!$C$2)</f>
        <v/>
      </c>
      <c r="Y132" s="61" t="str">
        <f aca="false">IF($M132="","",IFERROR($M132+$U132+$T132+$P132+$Q132+$R132+$S132+$V132+$W132+$X132,"Error"))</f>
        <v/>
      </c>
      <c r="Z132" s="61" t="str">
        <f aca="false">IF($M132="","",IFERROR($Y132-$E132,"Error"))</f>
        <v/>
      </c>
      <c r="AA132" s="60" t="str">
        <f aca="false">IF($M132="","",IFERROR($Z132/($M132+$T132),"Error"))</f>
        <v/>
      </c>
      <c r="AB132" s="62" t="str">
        <f aca="false">IF($M132="","",IFERROR($M132/$E132,"Error"))</f>
        <v/>
      </c>
      <c r="AD132" s="59"/>
      <c r="AE132" s="57"/>
      <c r="AF132" s="58"/>
      <c r="AG132" s="60" t="str">
        <f aca="false">IF(N($AD132)=0,"",IFERROR(($AD132/(1+$L132)-($AD132*$O132+IF($AD132&lt;=15000,1000,IF($AD132&lt;=25000,2000,IF($AD132&lt;=33000,2400,0)))+N($N132))/(1+Datos!$B$2)-$AD132*Datos!$C$2-$C132)/($AD132/(1+$L132)),"Error"))</f>
        <v/>
      </c>
      <c r="AH132" s="61" t="str">
        <f aca="false">IF(N($AD132)=0,"",IFERROR($AD132/(1+$L132)*(1-$AF132)-($AD132*$O132+IF($AD132&lt;=15000,1000,IF($AD132&lt;=25000,2000,IF($AD132&lt;=33000,2400,0)))+N($N132))/(1+Datos!$B$2)-$AD132*Datos!$C$2,"Error"))</f>
        <v/>
      </c>
      <c r="AI132" s="61" t="str">
        <f aca="false">IF($AH132="","",IFERROR($AH132*(1+$D132),"Error"))</f>
        <v/>
      </c>
      <c r="AJ132" s="60" t="str">
        <f aca="false">IF($AH132="","",IFERROR($C132/$AH132-1,"Error"))</f>
        <v/>
      </c>
      <c r="AK132" s="63" t="str">
        <f aca="false">IF($AH132="","",IFERROR(IF($C132&lt;=$AH132,"OK a ese precio","Bajar costo"),"Error"))</f>
        <v/>
      </c>
    </row>
    <row r="133" customFormat="false" ht="15" hidden="false" customHeight="false" outlineLevel="0" collapsed="false">
      <c r="E133" s="0" t="str">
        <f aca="false">IF($C133="","",$C133*(1+$D133))</f>
        <v/>
      </c>
      <c r="J133" s="57"/>
      <c r="K133" s="57"/>
      <c r="L133" s="58"/>
      <c r="M133" s="59"/>
      <c r="N133" s="59"/>
      <c r="O133" s="60" t="str">
        <f aca="false">IF($M133="","",IFERROR(IF($K133="Clásica",VLOOKUP("Argentina"&amp;$J133,Datos!$C:$D,2,0),VLOOKUP("Argentina"&amp;$J133,Datos!$C:$D,2,0)+VLOOKUP("Argentina"&amp;$K133,Datos!$H:$I,2,0)),"Error"))</f>
        <v/>
      </c>
      <c r="P133" s="61" t="str">
        <f aca="false">IF($M133="","",IFERROR(-$M133*$O133,"Error"))</f>
        <v/>
      </c>
      <c r="Q133" s="61" t="str">
        <f aca="false">IF($M133="","",IFERROR(-($P133-$P133/(1+Datos!$B$2)),"Error"))</f>
        <v/>
      </c>
      <c r="R133" s="61" t="str">
        <f aca="false">IF($M133="","",IF($M133&lt;=15000,-1000,IF($M133&lt;=25000,-2000,IF($M133&lt;=33000,-2400,0))))</f>
        <v/>
      </c>
      <c r="S133" s="61" t="str">
        <f aca="false">IF($M133="","",-($R133-$R133/(1+Datos!$B$2)))</f>
        <v/>
      </c>
      <c r="T133" s="61" t="str">
        <f aca="false">IF($M133="","",-$M133/(1+$L133)*$L133)</f>
        <v/>
      </c>
      <c r="U133" s="61" t="str">
        <f aca="false">IF($M133="","",$C133*$D133)</f>
        <v/>
      </c>
      <c r="V133" s="61" t="str">
        <f aca="false">IF($M133="","",-N($N133))</f>
        <v/>
      </c>
      <c r="W133" s="61" t="str">
        <f aca="false">IF($M133="","",-($V133-$V133/(1+Datos!$B$2)))</f>
        <v/>
      </c>
      <c r="X133" s="61" t="str">
        <f aca="false">IF($M133="","",-$M133*Datos!$C$2)</f>
        <v/>
      </c>
      <c r="Y133" s="61" t="str">
        <f aca="false">IF($M133="","",IFERROR($M133+$U133+$T133+$P133+$Q133+$R133+$S133+$V133+$W133+$X133,"Error"))</f>
        <v/>
      </c>
      <c r="Z133" s="61" t="str">
        <f aca="false">IF($M133="","",IFERROR($Y133-$E133,"Error"))</f>
        <v/>
      </c>
      <c r="AA133" s="60" t="str">
        <f aca="false">IF($M133="","",IFERROR($Z133/($M133+$T133),"Error"))</f>
        <v/>
      </c>
      <c r="AB133" s="62" t="str">
        <f aca="false">IF($M133="","",IFERROR($M133/$E133,"Error"))</f>
        <v/>
      </c>
      <c r="AD133" s="59"/>
      <c r="AE133" s="57"/>
      <c r="AF133" s="58"/>
      <c r="AG133" s="60" t="str">
        <f aca="false">IF(N($AD133)=0,"",IFERROR(($AD133/(1+$L133)-($AD133*$O133+IF($AD133&lt;=15000,1000,IF($AD133&lt;=25000,2000,IF($AD133&lt;=33000,2400,0)))+N($N133))/(1+Datos!$B$2)-$AD133*Datos!$C$2-$C133)/($AD133/(1+$L133)),"Error"))</f>
        <v/>
      </c>
      <c r="AH133" s="61" t="str">
        <f aca="false">IF(N($AD133)=0,"",IFERROR($AD133/(1+$L133)*(1-$AF133)-($AD133*$O133+IF($AD133&lt;=15000,1000,IF($AD133&lt;=25000,2000,IF($AD133&lt;=33000,2400,0)))+N($N133))/(1+Datos!$B$2)-$AD133*Datos!$C$2,"Error"))</f>
        <v/>
      </c>
      <c r="AI133" s="61" t="str">
        <f aca="false">IF($AH133="","",IFERROR($AH133*(1+$D133),"Error"))</f>
        <v/>
      </c>
      <c r="AJ133" s="60" t="str">
        <f aca="false">IF($AH133="","",IFERROR($C133/$AH133-1,"Error"))</f>
        <v/>
      </c>
      <c r="AK133" s="63" t="str">
        <f aca="false">IF($AH133="","",IFERROR(IF($C133&lt;=$AH133,"OK a ese precio","Bajar costo"),"Error"))</f>
        <v/>
      </c>
    </row>
    <row r="134" customFormat="false" ht="15" hidden="false" customHeight="false" outlineLevel="0" collapsed="false">
      <c r="E134" s="0" t="str">
        <f aca="false">IF($C134="","",$C134*(1+$D134))</f>
        <v/>
      </c>
      <c r="J134" s="57"/>
      <c r="K134" s="57"/>
      <c r="L134" s="58"/>
      <c r="M134" s="59"/>
      <c r="N134" s="59"/>
      <c r="O134" s="60" t="str">
        <f aca="false">IF($M134="","",IFERROR(IF($K134="Clásica",VLOOKUP("Argentina"&amp;$J134,Datos!$C:$D,2,0),VLOOKUP("Argentina"&amp;$J134,Datos!$C:$D,2,0)+VLOOKUP("Argentina"&amp;$K134,Datos!$H:$I,2,0)),"Error"))</f>
        <v/>
      </c>
      <c r="P134" s="61" t="str">
        <f aca="false">IF($M134="","",IFERROR(-$M134*$O134,"Error"))</f>
        <v/>
      </c>
      <c r="Q134" s="61" t="str">
        <f aca="false">IF($M134="","",IFERROR(-($P134-$P134/(1+Datos!$B$2)),"Error"))</f>
        <v/>
      </c>
      <c r="R134" s="61" t="str">
        <f aca="false">IF($M134="","",IF($M134&lt;=15000,-1000,IF($M134&lt;=25000,-2000,IF($M134&lt;=33000,-2400,0))))</f>
        <v/>
      </c>
      <c r="S134" s="61" t="str">
        <f aca="false">IF($M134="","",-($R134-$R134/(1+Datos!$B$2)))</f>
        <v/>
      </c>
      <c r="T134" s="61" t="str">
        <f aca="false">IF($M134="","",-$M134/(1+$L134)*$L134)</f>
        <v/>
      </c>
      <c r="U134" s="61" t="str">
        <f aca="false">IF($M134="","",$C134*$D134)</f>
        <v/>
      </c>
      <c r="V134" s="61" t="str">
        <f aca="false">IF($M134="","",-N($N134))</f>
        <v/>
      </c>
      <c r="W134" s="61" t="str">
        <f aca="false">IF($M134="","",-($V134-$V134/(1+Datos!$B$2)))</f>
        <v/>
      </c>
      <c r="X134" s="61" t="str">
        <f aca="false">IF($M134="","",-$M134*Datos!$C$2)</f>
        <v/>
      </c>
      <c r="Y134" s="61" t="str">
        <f aca="false">IF($M134="","",IFERROR($M134+$U134+$T134+$P134+$Q134+$R134+$S134+$V134+$W134+$X134,"Error"))</f>
        <v/>
      </c>
      <c r="Z134" s="61" t="str">
        <f aca="false">IF($M134="","",IFERROR($Y134-$E134,"Error"))</f>
        <v/>
      </c>
      <c r="AA134" s="60" t="str">
        <f aca="false">IF($M134="","",IFERROR($Z134/($M134+$T134),"Error"))</f>
        <v/>
      </c>
      <c r="AB134" s="62" t="str">
        <f aca="false">IF($M134="","",IFERROR($M134/$E134,"Error"))</f>
        <v/>
      </c>
      <c r="AD134" s="59"/>
      <c r="AE134" s="57"/>
      <c r="AF134" s="58"/>
      <c r="AG134" s="60" t="str">
        <f aca="false">IF(N($AD134)=0,"",IFERROR(($AD134/(1+$L134)-($AD134*$O134+IF($AD134&lt;=15000,1000,IF($AD134&lt;=25000,2000,IF($AD134&lt;=33000,2400,0)))+N($N134))/(1+Datos!$B$2)-$AD134*Datos!$C$2-$C134)/($AD134/(1+$L134)),"Error"))</f>
        <v/>
      </c>
      <c r="AH134" s="61" t="str">
        <f aca="false">IF(N($AD134)=0,"",IFERROR($AD134/(1+$L134)*(1-$AF134)-($AD134*$O134+IF($AD134&lt;=15000,1000,IF($AD134&lt;=25000,2000,IF($AD134&lt;=33000,2400,0)))+N($N134))/(1+Datos!$B$2)-$AD134*Datos!$C$2,"Error"))</f>
        <v/>
      </c>
      <c r="AI134" s="61" t="str">
        <f aca="false">IF($AH134="","",IFERROR($AH134*(1+$D134),"Error"))</f>
        <v/>
      </c>
      <c r="AJ134" s="60" t="str">
        <f aca="false">IF($AH134="","",IFERROR($C134/$AH134-1,"Error"))</f>
        <v/>
      </c>
      <c r="AK134" s="63" t="str">
        <f aca="false">IF($AH134="","",IFERROR(IF($C134&lt;=$AH134,"OK a ese precio","Bajar costo"),"Error"))</f>
        <v/>
      </c>
    </row>
    <row r="135" customFormat="false" ht="15" hidden="false" customHeight="false" outlineLevel="0" collapsed="false">
      <c r="E135" s="0" t="str">
        <f aca="false">IF($C135="","",$C135*(1+$D135))</f>
        <v/>
      </c>
      <c r="J135" s="57"/>
      <c r="K135" s="57"/>
      <c r="L135" s="58"/>
      <c r="M135" s="59"/>
      <c r="N135" s="59"/>
      <c r="O135" s="60" t="str">
        <f aca="false">IF($M135="","",IFERROR(IF($K135="Clásica",VLOOKUP("Argentina"&amp;$J135,Datos!$C:$D,2,0),VLOOKUP("Argentina"&amp;$J135,Datos!$C:$D,2,0)+VLOOKUP("Argentina"&amp;$K135,Datos!$H:$I,2,0)),"Error"))</f>
        <v/>
      </c>
      <c r="P135" s="61" t="str">
        <f aca="false">IF($M135="","",IFERROR(-$M135*$O135,"Error"))</f>
        <v/>
      </c>
      <c r="Q135" s="61" t="str">
        <f aca="false">IF($M135="","",IFERROR(-($P135-$P135/(1+Datos!$B$2)),"Error"))</f>
        <v/>
      </c>
      <c r="R135" s="61" t="str">
        <f aca="false">IF($M135="","",IF($M135&lt;=15000,-1000,IF($M135&lt;=25000,-2000,IF($M135&lt;=33000,-2400,0))))</f>
        <v/>
      </c>
      <c r="S135" s="61" t="str">
        <f aca="false">IF($M135="","",-($R135-$R135/(1+Datos!$B$2)))</f>
        <v/>
      </c>
      <c r="T135" s="61" t="str">
        <f aca="false">IF($M135="","",-$M135/(1+$L135)*$L135)</f>
        <v/>
      </c>
      <c r="U135" s="61" t="str">
        <f aca="false">IF($M135="","",$C135*$D135)</f>
        <v/>
      </c>
      <c r="V135" s="61" t="str">
        <f aca="false">IF($M135="","",-N($N135))</f>
        <v/>
      </c>
      <c r="W135" s="61" t="str">
        <f aca="false">IF($M135="","",-($V135-$V135/(1+Datos!$B$2)))</f>
        <v/>
      </c>
      <c r="X135" s="61" t="str">
        <f aca="false">IF($M135="","",-$M135*Datos!$C$2)</f>
        <v/>
      </c>
      <c r="Y135" s="61" t="str">
        <f aca="false">IF($M135="","",IFERROR($M135+$U135+$T135+$P135+$Q135+$R135+$S135+$V135+$W135+$X135,"Error"))</f>
        <v/>
      </c>
      <c r="Z135" s="61" t="str">
        <f aca="false">IF($M135="","",IFERROR($Y135-$E135,"Error"))</f>
        <v/>
      </c>
      <c r="AA135" s="60" t="str">
        <f aca="false">IF($M135="","",IFERROR($Z135/($M135+$T135),"Error"))</f>
        <v/>
      </c>
      <c r="AB135" s="62" t="str">
        <f aca="false">IF($M135="","",IFERROR($M135/$E135,"Error"))</f>
        <v/>
      </c>
      <c r="AD135" s="59"/>
      <c r="AE135" s="57"/>
      <c r="AF135" s="58"/>
      <c r="AG135" s="60" t="str">
        <f aca="false">IF(N($AD135)=0,"",IFERROR(($AD135/(1+$L135)-($AD135*$O135+IF($AD135&lt;=15000,1000,IF($AD135&lt;=25000,2000,IF($AD135&lt;=33000,2400,0)))+N($N135))/(1+Datos!$B$2)-$AD135*Datos!$C$2-$C135)/($AD135/(1+$L135)),"Error"))</f>
        <v/>
      </c>
      <c r="AH135" s="61" t="str">
        <f aca="false">IF(N($AD135)=0,"",IFERROR($AD135/(1+$L135)*(1-$AF135)-($AD135*$O135+IF($AD135&lt;=15000,1000,IF($AD135&lt;=25000,2000,IF($AD135&lt;=33000,2400,0)))+N($N135))/(1+Datos!$B$2)-$AD135*Datos!$C$2,"Error"))</f>
        <v/>
      </c>
      <c r="AI135" s="61" t="str">
        <f aca="false">IF($AH135="","",IFERROR($AH135*(1+$D135),"Error"))</f>
        <v/>
      </c>
      <c r="AJ135" s="60" t="str">
        <f aca="false">IF($AH135="","",IFERROR($C135/$AH135-1,"Error"))</f>
        <v/>
      </c>
      <c r="AK135" s="63" t="str">
        <f aca="false">IF($AH135="","",IFERROR(IF($C135&lt;=$AH135,"OK a ese precio","Bajar costo"),"Error"))</f>
        <v/>
      </c>
    </row>
    <row r="136" customFormat="false" ht="15" hidden="false" customHeight="false" outlineLevel="0" collapsed="false">
      <c r="E136" s="0" t="str">
        <f aca="false">IF($C136="","",$C136*(1+$D136))</f>
        <v/>
      </c>
      <c r="J136" s="57"/>
      <c r="K136" s="57"/>
      <c r="L136" s="58"/>
      <c r="M136" s="59"/>
      <c r="N136" s="59"/>
      <c r="O136" s="60" t="str">
        <f aca="false">IF($M136="","",IFERROR(IF($K136="Clásica",VLOOKUP("Argentina"&amp;$J136,Datos!$C:$D,2,0),VLOOKUP("Argentina"&amp;$J136,Datos!$C:$D,2,0)+VLOOKUP("Argentina"&amp;$K136,Datos!$H:$I,2,0)),"Error"))</f>
        <v/>
      </c>
      <c r="P136" s="61" t="str">
        <f aca="false">IF($M136="","",IFERROR(-$M136*$O136,"Error"))</f>
        <v/>
      </c>
      <c r="Q136" s="61" t="str">
        <f aca="false">IF($M136="","",IFERROR(-($P136-$P136/(1+Datos!$B$2)),"Error"))</f>
        <v/>
      </c>
      <c r="R136" s="61" t="str">
        <f aca="false">IF($M136="","",IF($M136&lt;=15000,-1000,IF($M136&lt;=25000,-2000,IF($M136&lt;=33000,-2400,0))))</f>
        <v/>
      </c>
      <c r="S136" s="61" t="str">
        <f aca="false">IF($M136="","",-($R136-$R136/(1+Datos!$B$2)))</f>
        <v/>
      </c>
      <c r="T136" s="61" t="str">
        <f aca="false">IF($M136="","",-$M136/(1+$L136)*$L136)</f>
        <v/>
      </c>
      <c r="U136" s="61" t="str">
        <f aca="false">IF($M136="","",$C136*$D136)</f>
        <v/>
      </c>
      <c r="V136" s="61" t="str">
        <f aca="false">IF($M136="","",-N($N136))</f>
        <v/>
      </c>
      <c r="W136" s="61" t="str">
        <f aca="false">IF($M136="","",-($V136-$V136/(1+Datos!$B$2)))</f>
        <v/>
      </c>
      <c r="X136" s="61" t="str">
        <f aca="false">IF($M136="","",-$M136*Datos!$C$2)</f>
        <v/>
      </c>
      <c r="Y136" s="61" t="str">
        <f aca="false">IF($M136="","",IFERROR($M136+$U136+$T136+$P136+$Q136+$R136+$S136+$V136+$W136+$X136,"Error"))</f>
        <v/>
      </c>
      <c r="Z136" s="61" t="str">
        <f aca="false">IF($M136="","",IFERROR($Y136-$E136,"Error"))</f>
        <v/>
      </c>
      <c r="AA136" s="60" t="str">
        <f aca="false">IF($M136="","",IFERROR($Z136/($M136+$T136),"Error"))</f>
        <v/>
      </c>
      <c r="AB136" s="62" t="str">
        <f aca="false">IF($M136="","",IFERROR($M136/$E136,"Error"))</f>
        <v/>
      </c>
      <c r="AD136" s="59"/>
      <c r="AE136" s="57"/>
      <c r="AF136" s="58"/>
      <c r="AG136" s="60" t="str">
        <f aca="false">IF(N($AD136)=0,"",IFERROR(($AD136/(1+$L136)-($AD136*$O136+IF($AD136&lt;=15000,1000,IF($AD136&lt;=25000,2000,IF($AD136&lt;=33000,2400,0)))+N($N136))/(1+Datos!$B$2)-$AD136*Datos!$C$2-$C136)/($AD136/(1+$L136)),"Error"))</f>
        <v/>
      </c>
      <c r="AH136" s="61" t="str">
        <f aca="false">IF(N($AD136)=0,"",IFERROR($AD136/(1+$L136)*(1-$AF136)-($AD136*$O136+IF($AD136&lt;=15000,1000,IF($AD136&lt;=25000,2000,IF($AD136&lt;=33000,2400,0)))+N($N136))/(1+Datos!$B$2)-$AD136*Datos!$C$2,"Error"))</f>
        <v/>
      </c>
      <c r="AI136" s="61" t="str">
        <f aca="false">IF($AH136="","",IFERROR($AH136*(1+$D136),"Error"))</f>
        <v/>
      </c>
      <c r="AJ136" s="60" t="str">
        <f aca="false">IF($AH136="","",IFERROR($C136/$AH136-1,"Error"))</f>
        <v/>
      </c>
      <c r="AK136" s="63" t="str">
        <f aca="false">IF($AH136="","",IFERROR(IF($C136&lt;=$AH136,"OK a ese precio","Bajar costo"),"Error"))</f>
        <v/>
      </c>
    </row>
    <row r="137" customFormat="false" ht="15" hidden="false" customHeight="false" outlineLevel="0" collapsed="false">
      <c r="E137" s="0" t="str">
        <f aca="false">IF($C137="","",$C137*(1+$D137))</f>
        <v/>
      </c>
      <c r="J137" s="57"/>
      <c r="K137" s="57"/>
      <c r="L137" s="58"/>
      <c r="M137" s="59"/>
      <c r="N137" s="59"/>
      <c r="O137" s="60" t="str">
        <f aca="false">IF($M137="","",IFERROR(IF($K137="Clásica",VLOOKUP("Argentina"&amp;$J137,Datos!$C:$D,2,0),VLOOKUP("Argentina"&amp;$J137,Datos!$C:$D,2,0)+VLOOKUP("Argentina"&amp;$K137,Datos!$H:$I,2,0)),"Error"))</f>
        <v/>
      </c>
      <c r="P137" s="61" t="str">
        <f aca="false">IF($M137="","",IFERROR(-$M137*$O137,"Error"))</f>
        <v/>
      </c>
      <c r="Q137" s="61" t="str">
        <f aca="false">IF($M137="","",IFERROR(-($P137-$P137/(1+Datos!$B$2)),"Error"))</f>
        <v/>
      </c>
      <c r="R137" s="61" t="str">
        <f aca="false">IF($M137="","",IF($M137&lt;=15000,-1000,IF($M137&lt;=25000,-2000,IF($M137&lt;=33000,-2400,0))))</f>
        <v/>
      </c>
      <c r="S137" s="61" t="str">
        <f aca="false">IF($M137="","",-($R137-$R137/(1+Datos!$B$2)))</f>
        <v/>
      </c>
      <c r="T137" s="61" t="str">
        <f aca="false">IF($M137="","",-$M137/(1+$L137)*$L137)</f>
        <v/>
      </c>
      <c r="U137" s="61" t="str">
        <f aca="false">IF($M137="","",$C137*$D137)</f>
        <v/>
      </c>
      <c r="V137" s="61" t="str">
        <f aca="false">IF($M137="","",-N($N137))</f>
        <v/>
      </c>
      <c r="W137" s="61" t="str">
        <f aca="false">IF($M137="","",-($V137-$V137/(1+Datos!$B$2)))</f>
        <v/>
      </c>
      <c r="X137" s="61" t="str">
        <f aca="false">IF($M137="","",-$M137*Datos!$C$2)</f>
        <v/>
      </c>
      <c r="Y137" s="61" t="str">
        <f aca="false">IF($M137="","",IFERROR($M137+$U137+$T137+$P137+$Q137+$R137+$S137+$V137+$W137+$X137,"Error"))</f>
        <v/>
      </c>
      <c r="Z137" s="61" t="str">
        <f aca="false">IF($M137="","",IFERROR($Y137-$E137,"Error"))</f>
        <v/>
      </c>
      <c r="AA137" s="60" t="str">
        <f aca="false">IF($M137="","",IFERROR($Z137/($M137+$T137),"Error"))</f>
        <v/>
      </c>
      <c r="AB137" s="62" t="str">
        <f aca="false">IF($M137="","",IFERROR($M137/$E137,"Error"))</f>
        <v/>
      </c>
      <c r="AD137" s="59"/>
      <c r="AE137" s="57"/>
      <c r="AF137" s="58"/>
      <c r="AG137" s="60" t="str">
        <f aca="false">IF(N($AD137)=0,"",IFERROR(($AD137/(1+$L137)-($AD137*$O137+IF($AD137&lt;=15000,1000,IF($AD137&lt;=25000,2000,IF($AD137&lt;=33000,2400,0)))+N($N137))/(1+Datos!$B$2)-$AD137*Datos!$C$2-$C137)/($AD137/(1+$L137)),"Error"))</f>
        <v/>
      </c>
      <c r="AH137" s="61" t="str">
        <f aca="false">IF(N($AD137)=0,"",IFERROR($AD137/(1+$L137)*(1-$AF137)-($AD137*$O137+IF($AD137&lt;=15000,1000,IF($AD137&lt;=25000,2000,IF($AD137&lt;=33000,2400,0)))+N($N137))/(1+Datos!$B$2)-$AD137*Datos!$C$2,"Error"))</f>
        <v/>
      </c>
      <c r="AI137" s="61" t="str">
        <f aca="false">IF($AH137="","",IFERROR($AH137*(1+$D137),"Error"))</f>
        <v/>
      </c>
      <c r="AJ137" s="60" t="str">
        <f aca="false">IF($AH137="","",IFERROR($C137/$AH137-1,"Error"))</f>
        <v/>
      </c>
      <c r="AK137" s="63" t="str">
        <f aca="false">IF($AH137="","",IFERROR(IF($C137&lt;=$AH137,"OK a ese precio","Bajar costo"),"Error"))</f>
        <v/>
      </c>
    </row>
    <row r="138" customFormat="false" ht="15" hidden="false" customHeight="false" outlineLevel="0" collapsed="false">
      <c r="E138" s="0" t="str">
        <f aca="false">IF($C138="","",$C138*(1+$D138))</f>
        <v/>
      </c>
      <c r="J138" s="57"/>
      <c r="K138" s="57"/>
      <c r="L138" s="58"/>
      <c r="M138" s="59"/>
      <c r="N138" s="59"/>
      <c r="O138" s="60" t="str">
        <f aca="false">IF($M138="","",IFERROR(IF($K138="Clásica",VLOOKUP("Argentina"&amp;$J138,Datos!$C:$D,2,0),VLOOKUP("Argentina"&amp;$J138,Datos!$C:$D,2,0)+VLOOKUP("Argentina"&amp;$K138,Datos!$H:$I,2,0)),"Error"))</f>
        <v/>
      </c>
      <c r="P138" s="61" t="str">
        <f aca="false">IF($M138="","",IFERROR(-$M138*$O138,"Error"))</f>
        <v/>
      </c>
      <c r="Q138" s="61" t="str">
        <f aca="false">IF($M138="","",IFERROR(-($P138-$P138/(1+Datos!$B$2)),"Error"))</f>
        <v/>
      </c>
      <c r="R138" s="61" t="str">
        <f aca="false">IF($M138="","",IF($M138&lt;=15000,-1000,IF($M138&lt;=25000,-2000,IF($M138&lt;=33000,-2400,0))))</f>
        <v/>
      </c>
      <c r="S138" s="61" t="str">
        <f aca="false">IF($M138="","",-($R138-$R138/(1+Datos!$B$2)))</f>
        <v/>
      </c>
      <c r="T138" s="61" t="str">
        <f aca="false">IF($M138="","",-$M138/(1+$L138)*$L138)</f>
        <v/>
      </c>
      <c r="U138" s="61" t="str">
        <f aca="false">IF($M138="","",$C138*$D138)</f>
        <v/>
      </c>
      <c r="V138" s="61" t="str">
        <f aca="false">IF($M138="","",-N($N138))</f>
        <v/>
      </c>
      <c r="W138" s="61" t="str">
        <f aca="false">IF($M138="","",-($V138-$V138/(1+Datos!$B$2)))</f>
        <v/>
      </c>
      <c r="X138" s="61" t="str">
        <f aca="false">IF($M138="","",-$M138*Datos!$C$2)</f>
        <v/>
      </c>
      <c r="Y138" s="61" t="str">
        <f aca="false">IF($M138="","",IFERROR($M138+$U138+$T138+$P138+$Q138+$R138+$S138+$V138+$W138+$X138,"Error"))</f>
        <v/>
      </c>
      <c r="Z138" s="61" t="str">
        <f aca="false">IF($M138="","",IFERROR($Y138-$E138,"Error"))</f>
        <v/>
      </c>
      <c r="AA138" s="60" t="str">
        <f aca="false">IF($M138="","",IFERROR($Z138/($M138+$T138),"Error"))</f>
        <v/>
      </c>
      <c r="AB138" s="62" t="str">
        <f aca="false">IF($M138="","",IFERROR($M138/$E138,"Error"))</f>
        <v/>
      </c>
      <c r="AD138" s="59"/>
      <c r="AE138" s="57"/>
      <c r="AF138" s="58"/>
      <c r="AG138" s="60" t="str">
        <f aca="false">IF(N($AD138)=0,"",IFERROR(($AD138/(1+$L138)-($AD138*$O138+IF($AD138&lt;=15000,1000,IF($AD138&lt;=25000,2000,IF($AD138&lt;=33000,2400,0)))+N($N138))/(1+Datos!$B$2)-$AD138*Datos!$C$2-$C138)/($AD138/(1+$L138)),"Error"))</f>
        <v/>
      </c>
      <c r="AH138" s="61" t="str">
        <f aca="false">IF(N($AD138)=0,"",IFERROR($AD138/(1+$L138)*(1-$AF138)-($AD138*$O138+IF($AD138&lt;=15000,1000,IF($AD138&lt;=25000,2000,IF($AD138&lt;=33000,2400,0)))+N($N138))/(1+Datos!$B$2)-$AD138*Datos!$C$2,"Error"))</f>
        <v/>
      </c>
      <c r="AI138" s="61" t="str">
        <f aca="false">IF($AH138="","",IFERROR($AH138*(1+$D138),"Error"))</f>
        <v/>
      </c>
      <c r="AJ138" s="60" t="str">
        <f aca="false">IF($AH138="","",IFERROR($C138/$AH138-1,"Error"))</f>
        <v/>
      </c>
      <c r="AK138" s="63" t="str">
        <f aca="false">IF($AH138="","",IFERROR(IF($C138&lt;=$AH138,"OK a ese precio","Bajar costo"),"Error"))</f>
        <v/>
      </c>
    </row>
    <row r="139" customFormat="false" ht="15" hidden="false" customHeight="false" outlineLevel="0" collapsed="false">
      <c r="E139" s="0" t="str">
        <f aca="false">IF($C139="","",$C139*(1+$D139))</f>
        <v/>
      </c>
      <c r="J139" s="57"/>
      <c r="K139" s="57"/>
      <c r="L139" s="58"/>
      <c r="M139" s="59"/>
      <c r="N139" s="59"/>
      <c r="O139" s="60" t="str">
        <f aca="false">IF($M139="","",IFERROR(IF($K139="Clásica",VLOOKUP("Argentina"&amp;$J139,Datos!$C:$D,2,0),VLOOKUP("Argentina"&amp;$J139,Datos!$C:$D,2,0)+VLOOKUP("Argentina"&amp;$K139,Datos!$H:$I,2,0)),"Error"))</f>
        <v/>
      </c>
      <c r="P139" s="61" t="str">
        <f aca="false">IF($M139="","",IFERROR(-$M139*$O139,"Error"))</f>
        <v/>
      </c>
      <c r="Q139" s="61" t="str">
        <f aca="false">IF($M139="","",IFERROR(-($P139-$P139/(1+Datos!$B$2)),"Error"))</f>
        <v/>
      </c>
      <c r="R139" s="61" t="str">
        <f aca="false">IF($M139="","",IF($M139&lt;=15000,-1000,IF($M139&lt;=25000,-2000,IF($M139&lt;=33000,-2400,0))))</f>
        <v/>
      </c>
      <c r="S139" s="61" t="str">
        <f aca="false">IF($M139="","",-($R139-$R139/(1+Datos!$B$2)))</f>
        <v/>
      </c>
      <c r="T139" s="61" t="str">
        <f aca="false">IF($M139="","",-$M139/(1+$L139)*$L139)</f>
        <v/>
      </c>
      <c r="U139" s="61" t="str">
        <f aca="false">IF($M139="","",$C139*$D139)</f>
        <v/>
      </c>
      <c r="V139" s="61" t="str">
        <f aca="false">IF($M139="","",-N($N139))</f>
        <v/>
      </c>
      <c r="W139" s="61" t="str">
        <f aca="false">IF($M139="","",-($V139-$V139/(1+Datos!$B$2)))</f>
        <v/>
      </c>
      <c r="X139" s="61" t="str">
        <f aca="false">IF($M139="","",-$M139*Datos!$C$2)</f>
        <v/>
      </c>
      <c r="Y139" s="61" t="str">
        <f aca="false">IF($M139="","",IFERROR($M139+$U139+$T139+$P139+$Q139+$R139+$S139+$V139+$W139+$X139,"Error"))</f>
        <v/>
      </c>
      <c r="Z139" s="61" t="str">
        <f aca="false">IF($M139="","",IFERROR($Y139-$E139,"Error"))</f>
        <v/>
      </c>
      <c r="AA139" s="60" t="str">
        <f aca="false">IF($M139="","",IFERROR($Z139/($M139+$T139),"Error"))</f>
        <v/>
      </c>
      <c r="AB139" s="62" t="str">
        <f aca="false">IF($M139="","",IFERROR($M139/$E139,"Error"))</f>
        <v/>
      </c>
      <c r="AD139" s="59"/>
      <c r="AE139" s="57"/>
      <c r="AF139" s="58"/>
      <c r="AG139" s="60" t="str">
        <f aca="false">IF(N($AD139)=0,"",IFERROR(($AD139/(1+$L139)-($AD139*$O139+IF($AD139&lt;=15000,1000,IF($AD139&lt;=25000,2000,IF($AD139&lt;=33000,2400,0)))+N($N139))/(1+Datos!$B$2)-$AD139*Datos!$C$2-$C139)/($AD139/(1+$L139)),"Error"))</f>
        <v/>
      </c>
      <c r="AH139" s="61" t="str">
        <f aca="false">IF(N($AD139)=0,"",IFERROR($AD139/(1+$L139)*(1-$AF139)-($AD139*$O139+IF($AD139&lt;=15000,1000,IF($AD139&lt;=25000,2000,IF($AD139&lt;=33000,2400,0)))+N($N139))/(1+Datos!$B$2)-$AD139*Datos!$C$2,"Error"))</f>
        <v/>
      </c>
      <c r="AI139" s="61" t="str">
        <f aca="false">IF($AH139="","",IFERROR($AH139*(1+$D139),"Error"))</f>
        <v/>
      </c>
      <c r="AJ139" s="60" t="str">
        <f aca="false">IF($AH139="","",IFERROR($C139/$AH139-1,"Error"))</f>
        <v/>
      </c>
      <c r="AK139" s="63" t="str">
        <f aca="false">IF($AH139="","",IFERROR(IF($C139&lt;=$AH139,"OK a ese precio","Bajar costo"),"Error"))</f>
        <v/>
      </c>
    </row>
    <row r="140" customFormat="false" ht="15" hidden="false" customHeight="false" outlineLevel="0" collapsed="false">
      <c r="E140" s="0" t="str">
        <f aca="false">IF($C140="","",$C140*(1+$D140))</f>
        <v/>
      </c>
      <c r="J140" s="57"/>
      <c r="K140" s="57"/>
      <c r="L140" s="58"/>
      <c r="M140" s="59"/>
      <c r="N140" s="59"/>
      <c r="O140" s="60" t="str">
        <f aca="false">IF($M140="","",IFERROR(IF($K140="Clásica",VLOOKUP("Argentina"&amp;$J140,Datos!$C:$D,2,0),VLOOKUP("Argentina"&amp;$J140,Datos!$C:$D,2,0)+VLOOKUP("Argentina"&amp;$K140,Datos!$H:$I,2,0)),"Error"))</f>
        <v/>
      </c>
      <c r="P140" s="61" t="str">
        <f aca="false">IF($M140="","",IFERROR(-$M140*$O140,"Error"))</f>
        <v/>
      </c>
      <c r="Q140" s="61" t="str">
        <f aca="false">IF($M140="","",IFERROR(-($P140-$P140/(1+Datos!$B$2)),"Error"))</f>
        <v/>
      </c>
      <c r="R140" s="61" t="str">
        <f aca="false">IF($M140="","",IF($M140&lt;=15000,-1000,IF($M140&lt;=25000,-2000,IF($M140&lt;=33000,-2400,0))))</f>
        <v/>
      </c>
      <c r="S140" s="61" t="str">
        <f aca="false">IF($M140="","",-($R140-$R140/(1+Datos!$B$2)))</f>
        <v/>
      </c>
      <c r="T140" s="61" t="str">
        <f aca="false">IF($M140="","",-$M140/(1+$L140)*$L140)</f>
        <v/>
      </c>
      <c r="U140" s="61" t="str">
        <f aca="false">IF($M140="","",$C140*$D140)</f>
        <v/>
      </c>
      <c r="V140" s="61" t="str">
        <f aca="false">IF($M140="","",-N($N140))</f>
        <v/>
      </c>
      <c r="W140" s="61" t="str">
        <f aca="false">IF($M140="","",-($V140-$V140/(1+Datos!$B$2)))</f>
        <v/>
      </c>
      <c r="X140" s="61" t="str">
        <f aca="false">IF($M140="","",-$M140*Datos!$C$2)</f>
        <v/>
      </c>
      <c r="Y140" s="61" t="str">
        <f aca="false">IF($M140="","",IFERROR($M140+$U140+$T140+$P140+$Q140+$R140+$S140+$V140+$W140+$X140,"Error"))</f>
        <v/>
      </c>
      <c r="Z140" s="61" t="str">
        <f aca="false">IF($M140="","",IFERROR($Y140-$E140,"Error"))</f>
        <v/>
      </c>
      <c r="AA140" s="60" t="str">
        <f aca="false">IF($M140="","",IFERROR($Z140/($M140+$T140),"Error"))</f>
        <v/>
      </c>
      <c r="AB140" s="62" t="str">
        <f aca="false">IF($M140="","",IFERROR($M140/$E140,"Error"))</f>
        <v/>
      </c>
      <c r="AD140" s="59"/>
      <c r="AE140" s="57"/>
      <c r="AF140" s="58"/>
      <c r="AG140" s="60" t="str">
        <f aca="false">IF(N($AD140)=0,"",IFERROR(($AD140/(1+$L140)-($AD140*$O140+IF($AD140&lt;=15000,1000,IF($AD140&lt;=25000,2000,IF($AD140&lt;=33000,2400,0)))+N($N140))/(1+Datos!$B$2)-$AD140*Datos!$C$2-$C140)/($AD140/(1+$L140)),"Error"))</f>
        <v/>
      </c>
      <c r="AH140" s="61" t="str">
        <f aca="false">IF(N($AD140)=0,"",IFERROR($AD140/(1+$L140)*(1-$AF140)-($AD140*$O140+IF($AD140&lt;=15000,1000,IF($AD140&lt;=25000,2000,IF($AD140&lt;=33000,2400,0)))+N($N140))/(1+Datos!$B$2)-$AD140*Datos!$C$2,"Error"))</f>
        <v/>
      </c>
      <c r="AI140" s="61" t="str">
        <f aca="false">IF($AH140="","",IFERROR($AH140*(1+$D140),"Error"))</f>
        <v/>
      </c>
      <c r="AJ140" s="60" t="str">
        <f aca="false">IF($AH140="","",IFERROR($C140/$AH140-1,"Error"))</f>
        <v/>
      </c>
      <c r="AK140" s="63" t="str">
        <f aca="false">IF($AH140="","",IFERROR(IF($C140&lt;=$AH140,"OK a ese precio","Bajar costo"),"Error"))</f>
        <v/>
      </c>
    </row>
    <row r="141" customFormat="false" ht="15" hidden="false" customHeight="false" outlineLevel="0" collapsed="false">
      <c r="E141" s="0" t="str">
        <f aca="false">IF($C141="","",$C141*(1+$D141))</f>
        <v/>
      </c>
      <c r="J141" s="57"/>
      <c r="K141" s="57"/>
      <c r="L141" s="58"/>
      <c r="M141" s="59"/>
      <c r="N141" s="59"/>
      <c r="O141" s="60" t="str">
        <f aca="false">IF($M141="","",IFERROR(IF($K141="Clásica",VLOOKUP("Argentina"&amp;$J141,Datos!$C:$D,2,0),VLOOKUP("Argentina"&amp;$J141,Datos!$C:$D,2,0)+VLOOKUP("Argentina"&amp;$K141,Datos!$H:$I,2,0)),"Error"))</f>
        <v/>
      </c>
      <c r="P141" s="61" t="str">
        <f aca="false">IF($M141="","",IFERROR(-$M141*$O141,"Error"))</f>
        <v/>
      </c>
      <c r="Q141" s="61" t="str">
        <f aca="false">IF($M141="","",IFERROR(-($P141-$P141/(1+Datos!$B$2)),"Error"))</f>
        <v/>
      </c>
      <c r="R141" s="61" t="str">
        <f aca="false">IF($M141="","",IF($M141&lt;=15000,-1000,IF($M141&lt;=25000,-2000,IF($M141&lt;=33000,-2400,0))))</f>
        <v/>
      </c>
      <c r="S141" s="61" t="str">
        <f aca="false">IF($M141="","",-($R141-$R141/(1+Datos!$B$2)))</f>
        <v/>
      </c>
      <c r="T141" s="61" t="str">
        <f aca="false">IF($M141="","",-$M141/(1+$L141)*$L141)</f>
        <v/>
      </c>
      <c r="U141" s="61" t="str">
        <f aca="false">IF($M141="","",$C141*$D141)</f>
        <v/>
      </c>
      <c r="V141" s="61" t="str">
        <f aca="false">IF($M141="","",-N($N141))</f>
        <v/>
      </c>
      <c r="W141" s="61" t="str">
        <f aca="false">IF($M141="","",-($V141-$V141/(1+Datos!$B$2)))</f>
        <v/>
      </c>
      <c r="X141" s="61" t="str">
        <f aca="false">IF($M141="","",-$M141*Datos!$C$2)</f>
        <v/>
      </c>
      <c r="Y141" s="61" t="str">
        <f aca="false">IF($M141="","",IFERROR($M141+$U141+$T141+$P141+$Q141+$R141+$S141+$V141+$W141+$X141,"Error"))</f>
        <v/>
      </c>
      <c r="Z141" s="61" t="str">
        <f aca="false">IF($M141="","",IFERROR($Y141-$E141,"Error"))</f>
        <v/>
      </c>
      <c r="AA141" s="60" t="str">
        <f aca="false">IF($M141="","",IFERROR($Z141/($M141+$T141),"Error"))</f>
        <v/>
      </c>
      <c r="AB141" s="62" t="str">
        <f aca="false">IF($M141="","",IFERROR($M141/$E141,"Error"))</f>
        <v/>
      </c>
      <c r="AD141" s="59"/>
      <c r="AE141" s="57"/>
      <c r="AF141" s="58"/>
      <c r="AG141" s="60" t="str">
        <f aca="false">IF(N($AD141)=0,"",IFERROR(($AD141/(1+$L141)-($AD141*$O141+IF($AD141&lt;=15000,1000,IF($AD141&lt;=25000,2000,IF($AD141&lt;=33000,2400,0)))+N($N141))/(1+Datos!$B$2)-$AD141*Datos!$C$2-$C141)/($AD141/(1+$L141)),"Error"))</f>
        <v/>
      </c>
      <c r="AH141" s="61" t="str">
        <f aca="false">IF(N($AD141)=0,"",IFERROR($AD141/(1+$L141)*(1-$AF141)-($AD141*$O141+IF($AD141&lt;=15000,1000,IF($AD141&lt;=25000,2000,IF($AD141&lt;=33000,2400,0)))+N($N141))/(1+Datos!$B$2)-$AD141*Datos!$C$2,"Error"))</f>
        <v/>
      </c>
      <c r="AI141" s="61" t="str">
        <f aca="false">IF($AH141="","",IFERROR($AH141*(1+$D141),"Error"))</f>
        <v/>
      </c>
      <c r="AJ141" s="60" t="str">
        <f aca="false">IF($AH141="","",IFERROR($C141/$AH141-1,"Error"))</f>
        <v/>
      </c>
      <c r="AK141" s="63" t="str">
        <f aca="false">IF($AH141="","",IFERROR(IF($C141&lt;=$AH141,"OK a ese precio","Bajar costo"),"Error"))</f>
        <v/>
      </c>
    </row>
    <row r="142" customFormat="false" ht="15" hidden="false" customHeight="false" outlineLevel="0" collapsed="false">
      <c r="E142" s="0" t="str">
        <f aca="false">IF($C142="","",$C142*(1+$D142))</f>
        <v/>
      </c>
      <c r="J142" s="57"/>
      <c r="K142" s="57"/>
      <c r="L142" s="58"/>
      <c r="M142" s="59"/>
      <c r="N142" s="59"/>
      <c r="O142" s="60" t="str">
        <f aca="false">IF($M142="","",IFERROR(IF($K142="Clásica",VLOOKUP("Argentina"&amp;$J142,Datos!$C:$D,2,0),VLOOKUP("Argentina"&amp;$J142,Datos!$C:$D,2,0)+VLOOKUP("Argentina"&amp;$K142,Datos!$H:$I,2,0)),"Error"))</f>
        <v/>
      </c>
      <c r="P142" s="61" t="str">
        <f aca="false">IF($M142="","",IFERROR(-$M142*$O142,"Error"))</f>
        <v/>
      </c>
      <c r="Q142" s="61" t="str">
        <f aca="false">IF($M142="","",IFERROR(-($P142-$P142/(1+Datos!$B$2)),"Error"))</f>
        <v/>
      </c>
      <c r="R142" s="61" t="str">
        <f aca="false">IF($M142="","",IF($M142&lt;=15000,-1000,IF($M142&lt;=25000,-2000,IF($M142&lt;=33000,-2400,0))))</f>
        <v/>
      </c>
      <c r="S142" s="61" t="str">
        <f aca="false">IF($M142="","",-($R142-$R142/(1+Datos!$B$2)))</f>
        <v/>
      </c>
      <c r="T142" s="61" t="str">
        <f aca="false">IF($M142="","",-$M142/(1+$L142)*$L142)</f>
        <v/>
      </c>
      <c r="U142" s="61" t="str">
        <f aca="false">IF($M142="","",$C142*$D142)</f>
        <v/>
      </c>
      <c r="V142" s="61" t="str">
        <f aca="false">IF($M142="","",-N($N142))</f>
        <v/>
      </c>
      <c r="W142" s="61" t="str">
        <f aca="false">IF($M142="","",-($V142-$V142/(1+Datos!$B$2)))</f>
        <v/>
      </c>
      <c r="X142" s="61" t="str">
        <f aca="false">IF($M142="","",-$M142*Datos!$C$2)</f>
        <v/>
      </c>
      <c r="Y142" s="61" t="str">
        <f aca="false">IF($M142="","",IFERROR($M142+$U142+$T142+$P142+$Q142+$R142+$S142+$V142+$W142+$X142,"Error"))</f>
        <v/>
      </c>
      <c r="Z142" s="61" t="str">
        <f aca="false">IF($M142="","",IFERROR($Y142-$E142,"Error"))</f>
        <v/>
      </c>
      <c r="AA142" s="60" t="str">
        <f aca="false">IF($M142="","",IFERROR($Z142/($M142+$T142),"Error"))</f>
        <v/>
      </c>
      <c r="AB142" s="62" t="str">
        <f aca="false">IF($M142="","",IFERROR($M142/$E142,"Error"))</f>
        <v/>
      </c>
      <c r="AD142" s="59"/>
      <c r="AE142" s="57"/>
      <c r="AF142" s="58"/>
      <c r="AG142" s="60" t="str">
        <f aca="false">IF(N($AD142)=0,"",IFERROR(($AD142/(1+$L142)-($AD142*$O142+IF($AD142&lt;=15000,1000,IF($AD142&lt;=25000,2000,IF($AD142&lt;=33000,2400,0)))+N($N142))/(1+Datos!$B$2)-$AD142*Datos!$C$2-$C142)/($AD142/(1+$L142)),"Error"))</f>
        <v/>
      </c>
      <c r="AH142" s="61" t="str">
        <f aca="false">IF(N($AD142)=0,"",IFERROR($AD142/(1+$L142)*(1-$AF142)-($AD142*$O142+IF($AD142&lt;=15000,1000,IF($AD142&lt;=25000,2000,IF($AD142&lt;=33000,2400,0)))+N($N142))/(1+Datos!$B$2)-$AD142*Datos!$C$2,"Error"))</f>
        <v/>
      </c>
      <c r="AI142" s="61" t="str">
        <f aca="false">IF($AH142="","",IFERROR($AH142*(1+$D142),"Error"))</f>
        <v/>
      </c>
      <c r="AJ142" s="60" t="str">
        <f aca="false">IF($AH142="","",IFERROR($C142/$AH142-1,"Error"))</f>
        <v/>
      </c>
      <c r="AK142" s="63" t="str">
        <f aca="false">IF($AH142="","",IFERROR(IF($C142&lt;=$AH142,"OK a ese precio","Bajar costo"),"Error"))</f>
        <v/>
      </c>
    </row>
    <row r="143" customFormat="false" ht="15" hidden="false" customHeight="false" outlineLevel="0" collapsed="false">
      <c r="E143" s="0" t="str">
        <f aca="false">IF($C143="","",$C143*(1+$D143))</f>
        <v/>
      </c>
      <c r="J143" s="57"/>
      <c r="K143" s="57"/>
      <c r="L143" s="58"/>
      <c r="M143" s="59"/>
      <c r="N143" s="59"/>
      <c r="O143" s="60" t="str">
        <f aca="false">IF($M143="","",IFERROR(IF($K143="Clásica",VLOOKUP("Argentina"&amp;$J143,Datos!$C:$D,2,0),VLOOKUP("Argentina"&amp;$J143,Datos!$C:$D,2,0)+VLOOKUP("Argentina"&amp;$K143,Datos!$H:$I,2,0)),"Error"))</f>
        <v/>
      </c>
      <c r="P143" s="61" t="str">
        <f aca="false">IF($M143="","",IFERROR(-$M143*$O143,"Error"))</f>
        <v/>
      </c>
      <c r="Q143" s="61" t="str">
        <f aca="false">IF($M143="","",IFERROR(-($P143-$P143/(1+Datos!$B$2)),"Error"))</f>
        <v/>
      </c>
      <c r="R143" s="61" t="str">
        <f aca="false">IF($M143="","",IF($M143&lt;=15000,-1000,IF($M143&lt;=25000,-2000,IF($M143&lt;=33000,-2400,0))))</f>
        <v/>
      </c>
      <c r="S143" s="61" t="str">
        <f aca="false">IF($M143="","",-($R143-$R143/(1+Datos!$B$2)))</f>
        <v/>
      </c>
      <c r="T143" s="61" t="str">
        <f aca="false">IF($M143="","",-$M143/(1+$L143)*$L143)</f>
        <v/>
      </c>
      <c r="U143" s="61" t="str">
        <f aca="false">IF($M143="","",$C143*$D143)</f>
        <v/>
      </c>
      <c r="V143" s="61" t="str">
        <f aca="false">IF($M143="","",-N($N143))</f>
        <v/>
      </c>
      <c r="W143" s="61" t="str">
        <f aca="false">IF($M143="","",-($V143-$V143/(1+Datos!$B$2)))</f>
        <v/>
      </c>
      <c r="X143" s="61" t="str">
        <f aca="false">IF($M143="","",-$M143*Datos!$C$2)</f>
        <v/>
      </c>
      <c r="Y143" s="61" t="str">
        <f aca="false">IF($M143="","",IFERROR($M143+$U143+$T143+$P143+$Q143+$R143+$S143+$V143+$W143+$X143,"Error"))</f>
        <v/>
      </c>
      <c r="Z143" s="61" t="str">
        <f aca="false">IF($M143="","",IFERROR($Y143-$E143,"Error"))</f>
        <v/>
      </c>
      <c r="AA143" s="60" t="str">
        <f aca="false">IF($M143="","",IFERROR($Z143/($M143+$T143),"Error"))</f>
        <v/>
      </c>
      <c r="AB143" s="62" t="str">
        <f aca="false">IF($M143="","",IFERROR($M143/$E143,"Error"))</f>
        <v/>
      </c>
      <c r="AD143" s="59"/>
      <c r="AE143" s="57"/>
      <c r="AF143" s="58"/>
      <c r="AG143" s="60" t="str">
        <f aca="false">IF(N($AD143)=0,"",IFERROR(($AD143/(1+$L143)-($AD143*$O143+IF($AD143&lt;=15000,1000,IF($AD143&lt;=25000,2000,IF($AD143&lt;=33000,2400,0)))+N($N143))/(1+Datos!$B$2)-$AD143*Datos!$C$2-$C143)/($AD143/(1+$L143)),"Error"))</f>
        <v/>
      </c>
      <c r="AH143" s="61" t="str">
        <f aca="false">IF(N($AD143)=0,"",IFERROR($AD143/(1+$L143)*(1-$AF143)-($AD143*$O143+IF($AD143&lt;=15000,1000,IF($AD143&lt;=25000,2000,IF($AD143&lt;=33000,2400,0)))+N($N143))/(1+Datos!$B$2)-$AD143*Datos!$C$2,"Error"))</f>
        <v/>
      </c>
      <c r="AI143" s="61" t="str">
        <f aca="false">IF($AH143="","",IFERROR($AH143*(1+$D143),"Error"))</f>
        <v/>
      </c>
      <c r="AJ143" s="60" t="str">
        <f aca="false">IF($AH143="","",IFERROR($C143/$AH143-1,"Error"))</f>
        <v/>
      </c>
      <c r="AK143" s="63" t="str">
        <f aca="false">IF($AH143="","",IFERROR(IF($C143&lt;=$AH143,"OK a ese precio","Bajar costo"),"Error"))</f>
        <v/>
      </c>
    </row>
    <row r="144" customFormat="false" ht="15" hidden="false" customHeight="false" outlineLevel="0" collapsed="false">
      <c r="E144" s="0" t="str">
        <f aca="false">IF($C144="","",$C144*(1+$D144))</f>
        <v/>
      </c>
      <c r="J144" s="57"/>
      <c r="K144" s="57"/>
      <c r="L144" s="58"/>
      <c r="M144" s="59"/>
      <c r="N144" s="59"/>
      <c r="O144" s="60" t="str">
        <f aca="false">IF($M144="","",IFERROR(IF($K144="Clásica",VLOOKUP("Argentina"&amp;$J144,Datos!$C:$D,2,0),VLOOKUP("Argentina"&amp;$J144,Datos!$C:$D,2,0)+VLOOKUP("Argentina"&amp;$K144,Datos!$H:$I,2,0)),"Error"))</f>
        <v/>
      </c>
      <c r="P144" s="61" t="str">
        <f aca="false">IF($M144="","",IFERROR(-$M144*$O144,"Error"))</f>
        <v/>
      </c>
      <c r="Q144" s="61" t="str">
        <f aca="false">IF($M144="","",IFERROR(-($P144-$P144/(1+Datos!$B$2)),"Error"))</f>
        <v/>
      </c>
      <c r="R144" s="61" t="str">
        <f aca="false">IF($M144="","",IF($M144&lt;=15000,-1000,IF($M144&lt;=25000,-2000,IF($M144&lt;=33000,-2400,0))))</f>
        <v/>
      </c>
      <c r="S144" s="61" t="str">
        <f aca="false">IF($M144="","",-($R144-$R144/(1+Datos!$B$2)))</f>
        <v/>
      </c>
      <c r="T144" s="61" t="str">
        <f aca="false">IF($M144="","",-$M144/(1+$L144)*$L144)</f>
        <v/>
      </c>
      <c r="U144" s="61" t="str">
        <f aca="false">IF($M144="","",$C144*$D144)</f>
        <v/>
      </c>
      <c r="V144" s="61" t="str">
        <f aca="false">IF($M144="","",-N($N144))</f>
        <v/>
      </c>
      <c r="W144" s="61" t="str">
        <f aca="false">IF($M144="","",-($V144-$V144/(1+Datos!$B$2)))</f>
        <v/>
      </c>
      <c r="X144" s="61" t="str">
        <f aca="false">IF($M144="","",-$M144*Datos!$C$2)</f>
        <v/>
      </c>
      <c r="Y144" s="61" t="str">
        <f aca="false">IF($M144="","",IFERROR($M144+$U144+$T144+$P144+$Q144+$R144+$S144+$V144+$W144+$X144,"Error"))</f>
        <v/>
      </c>
      <c r="Z144" s="61" t="str">
        <f aca="false">IF($M144="","",IFERROR($Y144-$E144,"Error"))</f>
        <v/>
      </c>
      <c r="AA144" s="60" t="str">
        <f aca="false">IF($M144="","",IFERROR($Z144/($M144+$T144),"Error"))</f>
        <v/>
      </c>
      <c r="AB144" s="62" t="str">
        <f aca="false">IF($M144="","",IFERROR($M144/$E144,"Error"))</f>
        <v/>
      </c>
      <c r="AD144" s="59"/>
      <c r="AE144" s="57"/>
      <c r="AF144" s="58"/>
      <c r="AG144" s="60" t="str">
        <f aca="false">IF(N($AD144)=0,"",IFERROR(($AD144/(1+$L144)-($AD144*$O144+IF($AD144&lt;=15000,1000,IF($AD144&lt;=25000,2000,IF($AD144&lt;=33000,2400,0)))+N($N144))/(1+Datos!$B$2)-$AD144*Datos!$C$2-$C144)/($AD144/(1+$L144)),"Error"))</f>
        <v/>
      </c>
      <c r="AH144" s="61" t="str">
        <f aca="false">IF(N($AD144)=0,"",IFERROR($AD144/(1+$L144)*(1-$AF144)-($AD144*$O144+IF($AD144&lt;=15000,1000,IF($AD144&lt;=25000,2000,IF($AD144&lt;=33000,2400,0)))+N($N144))/(1+Datos!$B$2)-$AD144*Datos!$C$2,"Error"))</f>
        <v/>
      </c>
      <c r="AI144" s="61" t="str">
        <f aca="false">IF($AH144="","",IFERROR($AH144*(1+$D144),"Error"))</f>
        <v/>
      </c>
      <c r="AJ144" s="60" t="str">
        <f aca="false">IF($AH144="","",IFERROR($C144/$AH144-1,"Error"))</f>
        <v/>
      </c>
      <c r="AK144" s="63" t="str">
        <f aca="false">IF($AH144="","",IFERROR(IF($C144&lt;=$AH144,"OK a ese precio","Bajar costo"),"Error"))</f>
        <v/>
      </c>
    </row>
    <row r="145" customFormat="false" ht="15" hidden="false" customHeight="false" outlineLevel="0" collapsed="false">
      <c r="E145" s="0" t="str">
        <f aca="false">IF($C145="","",$C145*(1+$D145))</f>
        <v/>
      </c>
      <c r="J145" s="57"/>
      <c r="K145" s="57"/>
      <c r="L145" s="58"/>
      <c r="M145" s="59"/>
      <c r="N145" s="59"/>
      <c r="O145" s="60" t="str">
        <f aca="false">IF($M145="","",IFERROR(IF($K145="Clásica",VLOOKUP("Argentina"&amp;$J145,Datos!$C:$D,2,0),VLOOKUP("Argentina"&amp;$J145,Datos!$C:$D,2,0)+VLOOKUP("Argentina"&amp;$K145,Datos!$H:$I,2,0)),"Error"))</f>
        <v/>
      </c>
      <c r="P145" s="61" t="str">
        <f aca="false">IF($M145="","",IFERROR(-$M145*$O145,"Error"))</f>
        <v/>
      </c>
      <c r="Q145" s="61" t="str">
        <f aca="false">IF($M145="","",IFERROR(-($P145-$P145/(1+Datos!$B$2)),"Error"))</f>
        <v/>
      </c>
      <c r="R145" s="61" t="str">
        <f aca="false">IF($M145="","",IF($M145&lt;=15000,-1000,IF($M145&lt;=25000,-2000,IF($M145&lt;=33000,-2400,0))))</f>
        <v/>
      </c>
      <c r="S145" s="61" t="str">
        <f aca="false">IF($M145="","",-($R145-$R145/(1+Datos!$B$2)))</f>
        <v/>
      </c>
      <c r="T145" s="61" t="str">
        <f aca="false">IF($M145="","",-$M145/(1+$L145)*$L145)</f>
        <v/>
      </c>
      <c r="U145" s="61" t="str">
        <f aca="false">IF($M145="","",$C145*$D145)</f>
        <v/>
      </c>
      <c r="V145" s="61" t="str">
        <f aca="false">IF($M145="","",-N($N145))</f>
        <v/>
      </c>
      <c r="W145" s="61" t="str">
        <f aca="false">IF($M145="","",-($V145-$V145/(1+Datos!$B$2)))</f>
        <v/>
      </c>
      <c r="X145" s="61" t="str">
        <f aca="false">IF($M145="","",-$M145*Datos!$C$2)</f>
        <v/>
      </c>
      <c r="Y145" s="61" t="str">
        <f aca="false">IF($M145="","",IFERROR($M145+$U145+$T145+$P145+$Q145+$R145+$S145+$V145+$W145+$X145,"Error"))</f>
        <v/>
      </c>
      <c r="Z145" s="61" t="str">
        <f aca="false">IF($M145="","",IFERROR($Y145-$E145,"Error"))</f>
        <v/>
      </c>
      <c r="AA145" s="60" t="str">
        <f aca="false">IF($M145="","",IFERROR($Z145/($M145+$T145),"Error"))</f>
        <v/>
      </c>
      <c r="AB145" s="62" t="str">
        <f aca="false">IF($M145="","",IFERROR($M145/$E145,"Error"))</f>
        <v/>
      </c>
      <c r="AD145" s="59"/>
      <c r="AE145" s="57"/>
      <c r="AF145" s="58"/>
      <c r="AG145" s="60" t="str">
        <f aca="false">IF(N($AD145)=0,"",IFERROR(($AD145/(1+$L145)-($AD145*$O145+IF($AD145&lt;=15000,1000,IF($AD145&lt;=25000,2000,IF($AD145&lt;=33000,2400,0)))+N($N145))/(1+Datos!$B$2)-$AD145*Datos!$C$2-$C145)/($AD145/(1+$L145)),"Error"))</f>
        <v/>
      </c>
      <c r="AH145" s="61" t="str">
        <f aca="false">IF(N($AD145)=0,"",IFERROR($AD145/(1+$L145)*(1-$AF145)-($AD145*$O145+IF($AD145&lt;=15000,1000,IF($AD145&lt;=25000,2000,IF($AD145&lt;=33000,2400,0)))+N($N145))/(1+Datos!$B$2)-$AD145*Datos!$C$2,"Error"))</f>
        <v/>
      </c>
      <c r="AI145" s="61" t="str">
        <f aca="false">IF($AH145="","",IFERROR($AH145*(1+$D145),"Error"))</f>
        <v/>
      </c>
      <c r="AJ145" s="60" t="str">
        <f aca="false">IF($AH145="","",IFERROR($C145/$AH145-1,"Error"))</f>
        <v/>
      </c>
      <c r="AK145" s="63" t="str">
        <f aca="false">IF($AH145="","",IFERROR(IF($C145&lt;=$AH145,"OK a ese precio","Bajar costo"),"Error"))</f>
        <v/>
      </c>
    </row>
    <row r="146" customFormat="false" ht="15" hidden="false" customHeight="false" outlineLevel="0" collapsed="false">
      <c r="E146" s="0" t="str">
        <f aca="false">IF($C146="","",$C146*(1+$D146))</f>
        <v/>
      </c>
      <c r="J146" s="57"/>
      <c r="K146" s="57"/>
      <c r="L146" s="58"/>
      <c r="M146" s="59"/>
      <c r="N146" s="59"/>
      <c r="O146" s="60" t="str">
        <f aca="false">IF($M146="","",IFERROR(IF($K146="Clásica",VLOOKUP("Argentina"&amp;$J146,Datos!$C:$D,2,0),VLOOKUP("Argentina"&amp;$J146,Datos!$C:$D,2,0)+VLOOKUP("Argentina"&amp;$K146,Datos!$H:$I,2,0)),"Error"))</f>
        <v/>
      </c>
      <c r="P146" s="61" t="str">
        <f aca="false">IF($M146="","",IFERROR(-$M146*$O146,"Error"))</f>
        <v/>
      </c>
      <c r="Q146" s="61" t="str">
        <f aca="false">IF($M146="","",IFERROR(-($P146-$P146/(1+Datos!$B$2)),"Error"))</f>
        <v/>
      </c>
      <c r="R146" s="61" t="str">
        <f aca="false">IF($M146="","",IF($M146&lt;=15000,-1000,IF($M146&lt;=25000,-2000,IF($M146&lt;=33000,-2400,0))))</f>
        <v/>
      </c>
      <c r="S146" s="61" t="str">
        <f aca="false">IF($M146="","",-($R146-$R146/(1+Datos!$B$2)))</f>
        <v/>
      </c>
      <c r="T146" s="61" t="str">
        <f aca="false">IF($M146="","",-$M146/(1+$L146)*$L146)</f>
        <v/>
      </c>
      <c r="U146" s="61" t="str">
        <f aca="false">IF($M146="","",$C146*$D146)</f>
        <v/>
      </c>
      <c r="V146" s="61" t="str">
        <f aca="false">IF($M146="","",-N($N146))</f>
        <v/>
      </c>
      <c r="W146" s="61" t="str">
        <f aca="false">IF($M146="","",-($V146-$V146/(1+Datos!$B$2)))</f>
        <v/>
      </c>
      <c r="X146" s="61" t="str">
        <f aca="false">IF($M146="","",-$M146*Datos!$C$2)</f>
        <v/>
      </c>
      <c r="Y146" s="61" t="str">
        <f aca="false">IF($M146="","",IFERROR($M146+$U146+$T146+$P146+$Q146+$R146+$S146+$V146+$W146+$X146,"Error"))</f>
        <v/>
      </c>
      <c r="Z146" s="61" t="str">
        <f aca="false">IF($M146="","",IFERROR($Y146-$E146,"Error"))</f>
        <v/>
      </c>
      <c r="AA146" s="60" t="str">
        <f aca="false">IF($M146="","",IFERROR($Z146/($M146+$T146),"Error"))</f>
        <v/>
      </c>
      <c r="AB146" s="62" t="str">
        <f aca="false">IF($M146="","",IFERROR($M146/$E146,"Error"))</f>
        <v/>
      </c>
      <c r="AD146" s="59"/>
      <c r="AE146" s="57"/>
      <c r="AF146" s="58"/>
      <c r="AG146" s="60" t="str">
        <f aca="false">IF(N($AD146)=0,"",IFERROR(($AD146/(1+$L146)-($AD146*$O146+IF($AD146&lt;=15000,1000,IF($AD146&lt;=25000,2000,IF($AD146&lt;=33000,2400,0)))+N($N146))/(1+Datos!$B$2)-$AD146*Datos!$C$2-$C146)/($AD146/(1+$L146)),"Error"))</f>
        <v/>
      </c>
      <c r="AH146" s="61" t="str">
        <f aca="false">IF(N($AD146)=0,"",IFERROR($AD146/(1+$L146)*(1-$AF146)-($AD146*$O146+IF($AD146&lt;=15000,1000,IF($AD146&lt;=25000,2000,IF($AD146&lt;=33000,2400,0)))+N($N146))/(1+Datos!$B$2)-$AD146*Datos!$C$2,"Error"))</f>
        <v/>
      </c>
      <c r="AI146" s="61" t="str">
        <f aca="false">IF($AH146="","",IFERROR($AH146*(1+$D146),"Error"))</f>
        <v/>
      </c>
      <c r="AJ146" s="60" t="str">
        <f aca="false">IF($AH146="","",IFERROR($C146/$AH146-1,"Error"))</f>
        <v/>
      </c>
      <c r="AK146" s="63" t="str">
        <f aca="false">IF($AH146="","",IFERROR(IF($C146&lt;=$AH146,"OK a ese precio","Bajar costo"),"Error"))</f>
        <v/>
      </c>
    </row>
    <row r="147" customFormat="false" ht="15" hidden="false" customHeight="false" outlineLevel="0" collapsed="false">
      <c r="E147" s="0" t="str">
        <f aca="false">IF($C147="","",$C147*(1+$D147))</f>
        <v/>
      </c>
      <c r="J147" s="57"/>
      <c r="K147" s="57"/>
      <c r="L147" s="58"/>
      <c r="M147" s="59"/>
      <c r="N147" s="59"/>
      <c r="O147" s="60" t="str">
        <f aca="false">IF($M147="","",IFERROR(IF($K147="Clásica",VLOOKUP("Argentina"&amp;$J147,Datos!$C:$D,2,0),VLOOKUP("Argentina"&amp;$J147,Datos!$C:$D,2,0)+VLOOKUP("Argentina"&amp;$K147,Datos!$H:$I,2,0)),"Error"))</f>
        <v/>
      </c>
      <c r="P147" s="61" t="str">
        <f aca="false">IF($M147="","",IFERROR(-$M147*$O147,"Error"))</f>
        <v/>
      </c>
      <c r="Q147" s="61" t="str">
        <f aca="false">IF($M147="","",IFERROR(-($P147-$P147/(1+Datos!$B$2)),"Error"))</f>
        <v/>
      </c>
      <c r="R147" s="61" t="str">
        <f aca="false">IF($M147="","",IF($M147&lt;=15000,-1000,IF($M147&lt;=25000,-2000,IF($M147&lt;=33000,-2400,0))))</f>
        <v/>
      </c>
      <c r="S147" s="61" t="str">
        <f aca="false">IF($M147="","",-($R147-$R147/(1+Datos!$B$2)))</f>
        <v/>
      </c>
      <c r="T147" s="61" t="str">
        <f aca="false">IF($M147="","",-$M147/(1+$L147)*$L147)</f>
        <v/>
      </c>
      <c r="U147" s="61" t="str">
        <f aca="false">IF($M147="","",$C147*$D147)</f>
        <v/>
      </c>
      <c r="V147" s="61" t="str">
        <f aca="false">IF($M147="","",-N($N147))</f>
        <v/>
      </c>
      <c r="W147" s="61" t="str">
        <f aca="false">IF($M147="","",-($V147-$V147/(1+Datos!$B$2)))</f>
        <v/>
      </c>
      <c r="X147" s="61" t="str">
        <f aca="false">IF($M147="","",-$M147*Datos!$C$2)</f>
        <v/>
      </c>
      <c r="Y147" s="61" t="str">
        <f aca="false">IF($M147="","",IFERROR($M147+$U147+$T147+$P147+$Q147+$R147+$S147+$V147+$W147+$X147,"Error"))</f>
        <v/>
      </c>
      <c r="Z147" s="61" t="str">
        <f aca="false">IF($M147="","",IFERROR($Y147-$E147,"Error"))</f>
        <v/>
      </c>
      <c r="AA147" s="60" t="str">
        <f aca="false">IF($M147="","",IFERROR($Z147/($M147+$T147),"Error"))</f>
        <v/>
      </c>
      <c r="AB147" s="62" t="str">
        <f aca="false">IF($M147="","",IFERROR($M147/$E147,"Error"))</f>
        <v/>
      </c>
      <c r="AD147" s="59"/>
      <c r="AE147" s="57"/>
      <c r="AF147" s="58"/>
      <c r="AG147" s="60" t="str">
        <f aca="false">IF(N($AD147)=0,"",IFERROR(($AD147/(1+$L147)-($AD147*$O147+IF($AD147&lt;=15000,1000,IF($AD147&lt;=25000,2000,IF($AD147&lt;=33000,2400,0)))+N($N147))/(1+Datos!$B$2)-$AD147*Datos!$C$2-$C147)/($AD147/(1+$L147)),"Error"))</f>
        <v/>
      </c>
      <c r="AH147" s="61" t="str">
        <f aca="false">IF(N($AD147)=0,"",IFERROR($AD147/(1+$L147)*(1-$AF147)-($AD147*$O147+IF($AD147&lt;=15000,1000,IF($AD147&lt;=25000,2000,IF($AD147&lt;=33000,2400,0)))+N($N147))/(1+Datos!$B$2)-$AD147*Datos!$C$2,"Error"))</f>
        <v/>
      </c>
      <c r="AI147" s="61" t="str">
        <f aca="false">IF($AH147="","",IFERROR($AH147*(1+$D147),"Error"))</f>
        <v/>
      </c>
      <c r="AJ147" s="60" t="str">
        <f aca="false">IF($AH147="","",IFERROR($C147/$AH147-1,"Error"))</f>
        <v/>
      </c>
      <c r="AK147" s="63" t="str">
        <f aca="false">IF($AH147="","",IFERROR(IF($C147&lt;=$AH147,"OK a ese precio","Bajar costo"),"Error"))</f>
        <v/>
      </c>
    </row>
    <row r="148" customFormat="false" ht="15" hidden="false" customHeight="false" outlineLevel="0" collapsed="false">
      <c r="E148" s="0" t="str">
        <f aca="false">IF($C148="","",$C148*(1+$D148))</f>
        <v/>
      </c>
      <c r="J148" s="57"/>
      <c r="K148" s="57"/>
      <c r="L148" s="58"/>
      <c r="M148" s="59"/>
      <c r="N148" s="59"/>
      <c r="O148" s="60" t="str">
        <f aca="false">IF($M148="","",IFERROR(IF($K148="Clásica",VLOOKUP("Argentina"&amp;$J148,Datos!$C:$D,2,0),VLOOKUP("Argentina"&amp;$J148,Datos!$C:$D,2,0)+VLOOKUP("Argentina"&amp;$K148,Datos!$H:$I,2,0)),"Error"))</f>
        <v/>
      </c>
      <c r="P148" s="61" t="str">
        <f aca="false">IF($M148="","",IFERROR(-$M148*$O148,"Error"))</f>
        <v/>
      </c>
      <c r="Q148" s="61" t="str">
        <f aca="false">IF($M148="","",IFERROR(-($P148-$P148/(1+Datos!$B$2)),"Error"))</f>
        <v/>
      </c>
      <c r="R148" s="61" t="str">
        <f aca="false">IF($M148="","",IF($M148&lt;=15000,-1000,IF($M148&lt;=25000,-2000,IF($M148&lt;=33000,-2400,0))))</f>
        <v/>
      </c>
      <c r="S148" s="61" t="str">
        <f aca="false">IF($M148="","",-($R148-$R148/(1+Datos!$B$2)))</f>
        <v/>
      </c>
      <c r="T148" s="61" t="str">
        <f aca="false">IF($M148="","",-$M148/(1+$L148)*$L148)</f>
        <v/>
      </c>
      <c r="U148" s="61" t="str">
        <f aca="false">IF($M148="","",$C148*$D148)</f>
        <v/>
      </c>
      <c r="V148" s="61" t="str">
        <f aca="false">IF($M148="","",-N($N148))</f>
        <v/>
      </c>
      <c r="W148" s="61" t="str">
        <f aca="false">IF($M148="","",-($V148-$V148/(1+Datos!$B$2)))</f>
        <v/>
      </c>
      <c r="X148" s="61" t="str">
        <f aca="false">IF($M148="","",-$M148*Datos!$C$2)</f>
        <v/>
      </c>
      <c r="Y148" s="61" t="str">
        <f aca="false">IF($M148="","",IFERROR($M148+$U148+$T148+$P148+$Q148+$R148+$S148+$V148+$W148+$X148,"Error"))</f>
        <v/>
      </c>
      <c r="Z148" s="61" t="str">
        <f aca="false">IF($M148="","",IFERROR($Y148-$E148,"Error"))</f>
        <v/>
      </c>
      <c r="AA148" s="60" t="str">
        <f aca="false">IF($M148="","",IFERROR($Z148/($M148+$T148),"Error"))</f>
        <v/>
      </c>
      <c r="AB148" s="62" t="str">
        <f aca="false">IF($M148="","",IFERROR($M148/$E148,"Error"))</f>
        <v/>
      </c>
      <c r="AD148" s="59"/>
      <c r="AE148" s="57"/>
      <c r="AF148" s="58"/>
      <c r="AG148" s="60" t="str">
        <f aca="false">IF(N($AD148)=0,"",IFERROR(($AD148/(1+$L148)-($AD148*$O148+IF($AD148&lt;=15000,1000,IF($AD148&lt;=25000,2000,IF($AD148&lt;=33000,2400,0)))+N($N148))/(1+Datos!$B$2)-$AD148*Datos!$C$2-$C148)/($AD148/(1+$L148)),"Error"))</f>
        <v/>
      </c>
      <c r="AH148" s="61" t="str">
        <f aca="false">IF(N($AD148)=0,"",IFERROR($AD148/(1+$L148)*(1-$AF148)-($AD148*$O148+IF($AD148&lt;=15000,1000,IF($AD148&lt;=25000,2000,IF($AD148&lt;=33000,2400,0)))+N($N148))/(1+Datos!$B$2)-$AD148*Datos!$C$2,"Error"))</f>
        <v/>
      </c>
      <c r="AI148" s="61" t="str">
        <f aca="false">IF($AH148="","",IFERROR($AH148*(1+$D148),"Error"))</f>
        <v/>
      </c>
      <c r="AJ148" s="60" t="str">
        <f aca="false">IF($AH148="","",IFERROR($C148/$AH148-1,"Error"))</f>
        <v/>
      </c>
      <c r="AK148" s="63" t="str">
        <f aca="false">IF($AH148="","",IFERROR(IF($C148&lt;=$AH148,"OK a ese precio","Bajar costo"),"Error"))</f>
        <v/>
      </c>
    </row>
    <row r="149" customFormat="false" ht="15" hidden="false" customHeight="false" outlineLevel="0" collapsed="false">
      <c r="E149" s="0" t="str">
        <f aca="false">IF($C149="","",$C149*(1+$D149))</f>
        <v/>
      </c>
      <c r="J149" s="57"/>
      <c r="K149" s="57"/>
      <c r="L149" s="58"/>
      <c r="M149" s="59"/>
      <c r="N149" s="59"/>
      <c r="O149" s="60" t="str">
        <f aca="false">IF($M149="","",IFERROR(IF($K149="Clásica",VLOOKUP("Argentina"&amp;$J149,Datos!$C:$D,2,0),VLOOKUP("Argentina"&amp;$J149,Datos!$C:$D,2,0)+VLOOKUP("Argentina"&amp;$K149,Datos!$H:$I,2,0)),"Error"))</f>
        <v/>
      </c>
      <c r="P149" s="61" t="str">
        <f aca="false">IF($M149="","",IFERROR(-$M149*$O149,"Error"))</f>
        <v/>
      </c>
      <c r="Q149" s="61" t="str">
        <f aca="false">IF($M149="","",IFERROR(-($P149-$P149/(1+Datos!$B$2)),"Error"))</f>
        <v/>
      </c>
      <c r="R149" s="61" t="str">
        <f aca="false">IF($M149="","",IF($M149&lt;=15000,-1000,IF($M149&lt;=25000,-2000,IF($M149&lt;=33000,-2400,0))))</f>
        <v/>
      </c>
      <c r="S149" s="61" t="str">
        <f aca="false">IF($M149="","",-($R149-$R149/(1+Datos!$B$2)))</f>
        <v/>
      </c>
      <c r="T149" s="61" t="str">
        <f aca="false">IF($M149="","",-$M149/(1+$L149)*$L149)</f>
        <v/>
      </c>
      <c r="U149" s="61" t="str">
        <f aca="false">IF($M149="","",$C149*$D149)</f>
        <v/>
      </c>
      <c r="V149" s="61" t="str">
        <f aca="false">IF($M149="","",-N($N149))</f>
        <v/>
      </c>
      <c r="W149" s="61" t="str">
        <f aca="false">IF($M149="","",-($V149-$V149/(1+Datos!$B$2)))</f>
        <v/>
      </c>
      <c r="X149" s="61" t="str">
        <f aca="false">IF($M149="","",-$M149*Datos!$C$2)</f>
        <v/>
      </c>
      <c r="Y149" s="61" t="str">
        <f aca="false">IF($M149="","",IFERROR($M149+$U149+$T149+$P149+$Q149+$R149+$S149+$V149+$W149+$X149,"Error"))</f>
        <v/>
      </c>
      <c r="Z149" s="61" t="str">
        <f aca="false">IF($M149="","",IFERROR($Y149-$E149,"Error"))</f>
        <v/>
      </c>
      <c r="AA149" s="60" t="str">
        <f aca="false">IF($M149="","",IFERROR($Z149/($M149+$T149),"Error"))</f>
        <v/>
      </c>
      <c r="AB149" s="62" t="str">
        <f aca="false">IF($M149="","",IFERROR($M149/$E149,"Error"))</f>
        <v/>
      </c>
      <c r="AD149" s="59"/>
      <c r="AE149" s="57"/>
      <c r="AF149" s="58"/>
      <c r="AG149" s="60" t="str">
        <f aca="false">IF(N($AD149)=0,"",IFERROR(($AD149/(1+$L149)-($AD149*$O149+IF($AD149&lt;=15000,1000,IF($AD149&lt;=25000,2000,IF($AD149&lt;=33000,2400,0)))+N($N149))/(1+Datos!$B$2)-$AD149*Datos!$C$2-$C149)/($AD149/(1+$L149)),"Error"))</f>
        <v/>
      </c>
      <c r="AH149" s="61" t="str">
        <f aca="false">IF(N($AD149)=0,"",IFERROR($AD149/(1+$L149)*(1-$AF149)-($AD149*$O149+IF($AD149&lt;=15000,1000,IF($AD149&lt;=25000,2000,IF($AD149&lt;=33000,2400,0)))+N($N149))/(1+Datos!$B$2)-$AD149*Datos!$C$2,"Error"))</f>
        <v/>
      </c>
      <c r="AI149" s="61" t="str">
        <f aca="false">IF($AH149="","",IFERROR($AH149*(1+$D149),"Error"))</f>
        <v/>
      </c>
      <c r="AJ149" s="60" t="str">
        <f aca="false">IF($AH149="","",IFERROR($C149/$AH149-1,"Error"))</f>
        <v/>
      </c>
      <c r="AK149" s="63" t="str">
        <f aca="false">IF($AH149="","",IFERROR(IF($C149&lt;=$AH149,"OK a ese precio","Bajar costo"),"Error"))</f>
        <v/>
      </c>
    </row>
    <row r="150" customFormat="false" ht="15" hidden="false" customHeight="false" outlineLevel="0" collapsed="false">
      <c r="E150" s="0" t="str">
        <f aca="false">IF($C150="","",$C150*(1+$D150))</f>
        <v/>
      </c>
      <c r="J150" s="57"/>
      <c r="K150" s="57"/>
      <c r="L150" s="58"/>
      <c r="M150" s="59"/>
      <c r="N150" s="59"/>
      <c r="O150" s="60" t="str">
        <f aca="false">IF($M150="","",IFERROR(IF($K150="Clásica",VLOOKUP("Argentina"&amp;$J150,Datos!$C:$D,2,0),VLOOKUP("Argentina"&amp;$J150,Datos!$C:$D,2,0)+VLOOKUP("Argentina"&amp;$K150,Datos!$H:$I,2,0)),"Error"))</f>
        <v/>
      </c>
      <c r="P150" s="61" t="str">
        <f aca="false">IF($M150="","",IFERROR(-$M150*$O150,"Error"))</f>
        <v/>
      </c>
      <c r="Q150" s="61" t="str">
        <f aca="false">IF($M150="","",IFERROR(-($P150-$P150/(1+Datos!$B$2)),"Error"))</f>
        <v/>
      </c>
      <c r="R150" s="61" t="str">
        <f aca="false">IF($M150="","",IF($M150&lt;=15000,-1000,IF($M150&lt;=25000,-2000,IF($M150&lt;=33000,-2400,0))))</f>
        <v/>
      </c>
      <c r="S150" s="61" t="str">
        <f aca="false">IF($M150="","",-($R150-$R150/(1+Datos!$B$2)))</f>
        <v/>
      </c>
      <c r="T150" s="61" t="str">
        <f aca="false">IF($M150="","",-$M150/(1+$L150)*$L150)</f>
        <v/>
      </c>
      <c r="U150" s="61" t="str">
        <f aca="false">IF($M150="","",$C150*$D150)</f>
        <v/>
      </c>
      <c r="V150" s="61" t="str">
        <f aca="false">IF($M150="","",-N($N150))</f>
        <v/>
      </c>
      <c r="W150" s="61" t="str">
        <f aca="false">IF($M150="","",-($V150-$V150/(1+Datos!$B$2)))</f>
        <v/>
      </c>
      <c r="X150" s="61" t="str">
        <f aca="false">IF($M150="","",-$M150*Datos!$C$2)</f>
        <v/>
      </c>
      <c r="Y150" s="61" t="str">
        <f aca="false">IF($M150="","",IFERROR($M150+$U150+$T150+$P150+$Q150+$R150+$S150+$V150+$W150+$X150,"Error"))</f>
        <v/>
      </c>
      <c r="Z150" s="61" t="str">
        <f aca="false">IF($M150="","",IFERROR($Y150-$E150,"Error"))</f>
        <v/>
      </c>
      <c r="AA150" s="60" t="str">
        <f aca="false">IF($M150="","",IFERROR($Z150/($M150+$T150),"Error"))</f>
        <v/>
      </c>
      <c r="AB150" s="62" t="str">
        <f aca="false">IF($M150="","",IFERROR($M150/$E150,"Error"))</f>
        <v/>
      </c>
      <c r="AD150" s="59"/>
      <c r="AE150" s="57"/>
      <c r="AF150" s="58"/>
      <c r="AG150" s="60" t="str">
        <f aca="false">IF(N($AD150)=0,"",IFERROR(($AD150/(1+$L150)-($AD150*$O150+IF($AD150&lt;=15000,1000,IF($AD150&lt;=25000,2000,IF($AD150&lt;=33000,2400,0)))+N($N150))/(1+Datos!$B$2)-$AD150*Datos!$C$2-$C150)/($AD150/(1+$L150)),"Error"))</f>
        <v/>
      </c>
      <c r="AH150" s="61" t="str">
        <f aca="false">IF(N($AD150)=0,"",IFERROR($AD150/(1+$L150)*(1-$AF150)-($AD150*$O150+IF($AD150&lt;=15000,1000,IF($AD150&lt;=25000,2000,IF($AD150&lt;=33000,2400,0)))+N($N150))/(1+Datos!$B$2)-$AD150*Datos!$C$2,"Error"))</f>
        <v/>
      </c>
      <c r="AI150" s="61" t="str">
        <f aca="false">IF($AH150="","",IFERROR($AH150*(1+$D150),"Error"))</f>
        <v/>
      </c>
      <c r="AJ150" s="60" t="str">
        <f aca="false">IF($AH150="","",IFERROR($C150/$AH150-1,"Error"))</f>
        <v/>
      </c>
      <c r="AK150" s="63" t="str">
        <f aca="false">IF($AH150="","",IFERROR(IF($C150&lt;=$AH150,"OK a ese precio","Bajar costo"),"Error"))</f>
        <v/>
      </c>
    </row>
    <row r="151" customFormat="false" ht="15" hidden="false" customHeight="false" outlineLevel="0" collapsed="false">
      <c r="E151" s="0" t="str">
        <f aca="false">IF($C151="","",$C151*(1+$D151))</f>
        <v/>
      </c>
      <c r="J151" s="57"/>
      <c r="K151" s="57"/>
      <c r="L151" s="58"/>
      <c r="M151" s="59"/>
      <c r="N151" s="59"/>
      <c r="O151" s="60" t="str">
        <f aca="false">IF($M151="","",IFERROR(IF($K151="Clásica",VLOOKUP("Argentina"&amp;$J151,Datos!$C:$D,2,0),VLOOKUP("Argentina"&amp;$J151,Datos!$C:$D,2,0)+VLOOKUP("Argentina"&amp;$K151,Datos!$H:$I,2,0)),"Error"))</f>
        <v/>
      </c>
      <c r="P151" s="61" t="str">
        <f aca="false">IF($M151="","",IFERROR(-$M151*$O151,"Error"))</f>
        <v/>
      </c>
      <c r="Q151" s="61" t="str">
        <f aca="false">IF($M151="","",IFERROR(-($P151-$P151/(1+Datos!$B$2)),"Error"))</f>
        <v/>
      </c>
      <c r="R151" s="61" t="str">
        <f aca="false">IF($M151="","",IF($M151&lt;=15000,-1000,IF($M151&lt;=25000,-2000,IF($M151&lt;=33000,-2400,0))))</f>
        <v/>
      </c>
      <c r="S151" s="61" t="str">
        <f aca="false">IF($M151="","",-($R151-$R151/(1+Datos!$B$2)))</f>
        <v/>
      </c>
      <c r="T151" s="61" t="str">
        <f aca="false">IF($M151="","",-$M151/(1+$L151)*$L151)</f>
        <v/>
      </c>
      <c r="U151" s="61" t="str">
        <f aca="false">IF($M151="","",$C151*$D151)</f>
        <v/>
      </c>
      <c r="V151" s="61" t="str">
        <f aca="false">IF($M151="","",-N($N151))</f>
        <v/>
      </c>
      <c r="W151" s="61" t="str">
        <f aca="false">IF($M151="","",-($V151-$V151/(1+Datos!$B$2)))</f>
        <v/>
      </c>
      <c r="X151" s="61" t="str">
        <f aca="false">IF($M151="","",-$M151*Datos!$C$2)</f>
        <v/>
      </c>
      <c r="Y151" s="61" t="str">
        <f aca="false">IF($M151="","",IFERROR($M151+$U151+$T151+$P151+$Q151+$R151+$S151+$V151+$W151+$X151,"Error"))</f>
        <v/>
      </c>
      <c r="Z151" s="61" t="str">
        <f aca="false">IF($M151="","",IFERROR($Y151-$E151,"Error"))</f>
        <v/>
      </c>
      <c r="AA151" s="60" t="str">
        <f aca="false">IF($M151="","",IFERROR($Z151/($M151+$T151),"Error"))</f>
        <v/>
      </c>
      <c r="AB151" s="62" t="str">
        <f aca="false">IF($M151="","",IFERROR($M151/$E151,"Error"))</f>
        <v/>
      </c>
      <c r="AD151" s="59"/>
      <c r="AE151" s="57"/>
      <c r="AF151" s="58"/>
      <c r="AG151" s="60" t="str">
        <f aca="false">IF(N($AD151)=0,"",IFERROR(($AD151/(1+$L151)-($AD151*$O151+IF($AD151&lt;=15000,1000,IF($AD151&lt;=25000,2000,IF($AD151&lt;=33000,2400,0)))+N($N151))/(1+Datos!$B$2)-$AD151*Datos!$C$2-$C151)/($AD151/(1+$L151)),"Error"))</f>
        <v/>
      </c>
      <c r="AH151" s="61" t="str">
        <f aca="false">IF(N($AD151)=0,"",IFERROR($AD151/(1+$L151)*(1-$AF151)-($AD151*$O151+IF($AD151&lt;=15000,1000,IF($AD151&lt;=25000,2000,IF($AD151&lt;=33000,2400,0)))+N($N151))/(1+Datos!$B$2)-$AD151*Datos!$C$2,"Error"))</f>
        <v/>
      </c>
      <c r="AI151" s="61" t="str">
        <f aca="false">IF($AH151="","",IFERROR($AH151*(1+$D151),"Error"))</f>
        <v/>
      </c>
      <c r="AJ151" s="60" t="str">
        <f aca="false">IF($AH151="","",IFERROR($C151/$AH151-1,"Error"))</f>
        <v/>
      </c>
      <c r="AK151" s="63" t="str">
        <f aca="false">IF($AH151="","",IFERROR(IF($C151&lt;=$AH151,"OK a ese precio","Bajar costo"),"Error"))</f>
        <v/>
      </c>
    </row>
    <row r="152" customFormat="false" ht="15" hidden="false" customHeight="false" outlineLevel="0" collapsed="false">
      <c r="E152" s="0" t="str">
        <f aca="false">IF($C152="","",$C152*(1+$D152))</f>
        <v/>
      </c>
      <c r="J152" s="57"/>
      <c r="K152" s="57"/>
      <c r="L152" s="58"/>
      <c r="M152" s="59"/>
      <c r="N152" s="59"/>
      <c r="O152" s="60" t="str">
        <f aca="false">IF($M152="","",IFERROR(IF($K152="Clásica",VLOOKUP("Argentina"&amp;$J152,Datos!$C:$D,2,0),VLOOKUP("Argentina"&amp;$J152,Datos!$C:$D,2,0)+VLOOKUP("Argentina"&amp;$K152,Datos!$H:$I,2,0)),"Error"))</f>
        <v/>
      </c>
      <c r="P152" s="61" t="str">
        <f aca="false">IF($M152="","",IFERROR(-$M152*$O152,"Error"))</f>
        <v/>
      </c>
      <c r="Q152" s="61" t="str">
        <f aca="false">IF($M152="","",IFERROR(-($P152-$P152/(1+Datos!$B$2)),"Error"))</f>
        <v/>
      </c>
      <c r="R152" s="61" t="str">
        <f aca="false">IF($M152="","",IF($M152&lt;=15000,-1000,IF($M152&lt;=25000,-2000,IF($M152&lt;=33000,-2400,0))))</f>
        <v/>
      </c>
      <c r="S152" s="61" t="str">
        <f aca="false">IF($M152="","",-($R152-$R152/(1+Datos!$B$2)))</f>
        <v/>
      </c>
      <c r="T152" s="61" t="str">
        <f aca="false">IF($M152="","",-$M152/(1+$L152)*$L152)</f>
        <v/>
      </c>
      <c r="U152" s="61" t="str">
        <f aca="false">IF($M152="","",$C152*$D152)</f>
        <v/>
      </c>
      <c r="V152" s="61" t="str">
        <f aca="false">IF($M152="","",-N($N152))</f>
        <v/>
      </c>
      <c r="W152" s="61" t="str">
        <f aca="false">IF($M152="","",-($V152-$V152/(1+Datos!$B$2)))</f>
        <v/>
      </c>
      <c r="X152" s="61" t="str">
        <f aca="false">IF($M152="","",-$M152*Datos!$C$2)</f>
        <v/>
      </c>
      <c r="Y152" s="61" t="str">
        <f aca="false">IF($M152="","",IFERROR($M152+$U152+$T152+$P152+$Q152+$R152+$S152+$V152+$W152+$X152,"Error"))</f>
        <v/>
      </c>
      <c r="Z152" s="61" t="str">
        <f aca="false">IF($M152="","",IFERROR($Y152-$E152,"Error"))</f>
        <v/>
      </c>
      <c r="AA152" s="60" t="str">
        <f aca="false">IF($M152="","",IFERROR($Z152/($M152+$T152),"Error"))</f>
        <v/>
      </c>
      <c r="AB152" s="62" t="str">
        <f aca="false">IF($M152="","",IFERROR($M152/$E152,"Error"))</f>
        <v/>
      </c>
      <c r="AD152" s="59"/>
      <c r="AE152" s="57"/>
      <c r="AF152" s="58"/>
      <c r="AG152" s="60" t="str">
        <f aca="false">IF(N($AD152)=0,"",IFERROR(($AD152/(1+$L152)-($AD152*$O152+IF($AD152&lt;=15000,1000,IF($AD152&lt;=25000,2000,IF($AD152&lt;=33000,2400,0)))+N($N152))/(1+Datos!$B$2)-$AD152*Datos!$C$2-$C152)/($AD152/(1+$L152)),"Error"))</f>
        <v/>
      </c>
      <c r="AH152" s="61" t="str">
        <f aca="false">IF(N($AD152)=0,"",IFERROR($AD152/(1+$L152)*(1-$AF152)-($AD152*$O152+IF($AD152&lt;=15000,1000,IF($AD152&lt;=25000,2000,IF($AD152&lt;=33000,2400,0)))+N($N152))/(1+Datos!$B$2)-$AD152*Datos!$C$2,"Error"))</f>
        <v/>
      </c>
      <c r="AI152" s="61" t="str">
        <f aca="false">IF($AH152="","",IFERROR($AH152*(1+$D152),"Error"))</f>
        <v/>
      </c>
      <c r="AJ152" s="60" t="str">
        <f aca="false">IF($AH152="","",IFERROR($C152/$AH152-1,"Error"))</f>
        <v/>
      </c>
      <c r="AK152" s="63" t="str">
        <f aca="false">IF($AH152="","",IFERROR(IF($C152&lt;=$AH152,"OK a ese precio","Bajar costo"),"Error"))</f>
        <v/>
      </c>
    </row>
    <row r="153" customFormat="false" ht="15" hidden="false" customHeight="false" outlineLevel="0" collapsed="false">
      <c r="E153" s="0" t="str">
        <f aca="false">IF($C153="","",$C153*(1+$D153))</f>
        <v/>
      </c>
      <c r="J153" s="57"/>
      <c r="K153" s="57"/>
      <c r="L153" s="58"/>
      <c r="M153" s="59"/>
      <c r="N153" s="59"/>
      <c r="O153" s="60" t="str">
        <f aca="false">IF($M153="","",IFERROR(IF($K153="Clásica",VLOOKUP("Argentina"&amp;$J153,Datos!$C:$D,2,0),VLOOKUP("Argentina"&amp;$J153,Datos!$C:$D,2,0)+VLOOKUP("Argentina"&amp;$K153,Datos!$H:$I,2,0)),"Error"))</f>
        <v/>
      </c>
      <c r="P153" s="61" t="str">
        <f aca="false">IF($M153="","",IFERROR(-$M153*$O153,"Error"))</f>
        <v/>
      </c>
      <c r="Q153" s="61" t="str">
        <f aca="false">IF($M153="","",IFERROR(-($P153-$P153/(1+Datos!$B$2)),"Error"))</f>
        <v/>
      </c>
      <c r="R153" s="61" t="str">
        <f aca="false">IF($M153="","",IF($M153&lt;=15000,-1000,IF($M153&lt;=25000,-2000,IF($M153&lt;=33000,-2400,0))))</f>
        <v/>
      </c>
      <c r="S153" s="61" t="str">
        <f aca="false">IF($M153="","",-($R153-$R153/(1+Datos!$B$2)))</f>
        <v/>
      </c>
      <c r="T153" s="61" t="str">
        <f aca="false">IF($M153="","",-$M153/(1+$L153)*$L153)</f>
        <v/>
      </c>
      <c r="U153" s="61" t="str">
        <f aca="false">IF($M153="","",$C153*$D153)</f>
        <v/>
      </c>
      <c r="V153" s="61" t="str">
        <f aca="false">IF($M153="","",-N($N153))</f>
        <v/>
      </c>
      <c r="W153" s="61" t="str">
        <f aca="false">IF($M153="","",-($V153-$V153/(1+Datos!$B$2)))</f>
        <v/>
      </c>
      <c r="X153" s="61" t="str">
        <f aca="false">IF($M153="","",-$M153*Datos!$C$2)</f>
        <v/>
      </c>
      <c r="Y153" s="61" t="str">
        <f aca="false">IF($M153="","",IFERROR($M153+$U153+$T153+$P153+$Q153+$R153+$S153+$V153+$W153+$X153,"Error"))</f>
        <v/>
      </c>
      <c r="Z153" s="61" t="str">
        <f aca="false">IF($M153="","",IFERROR($Y153-$E153,"Error"))</f>
        <v/>
      </c>
      <c r="AA153" s="60" t="str">
        <f aca="false">IF($M153="","",IFERROR($Z153/($M153+$T153),"Error"))</f>
        <v/>
      </c>
      <c r="AB153" s="62" t="str">
        <f aca="false">IF($M153="","",IFERROR($M153/$E153,"Error"))</f>
        <v/>
      </c>
      <c r="AD153" s="59"/>
      <c r="AE153" s="57"/>
      <c r="AF153" s="58"/>
      <c r="AG153" s="60" t="str">
        <f aca="false">IF(N($AD153)=0,"",IFERROR(($AD153/(1+$L153)-($AD153*$O153+IF($AD153&lt;=15000,1000,IF($AD153&lt;=25000,2000,IF($AD153&lt;=33000,2400,0)))+N($N153))/(1+Datos!$B$2)-$AD153*Datos!$C$2-$C153)/($AD153/(1+$L153)),"Error"))</f>
        <v/>
      </c>
      <c r="AH153" s="61" t="str">
        <f aca="false">IF(N($AD153)=0,"",IFERROR($AD153/(1+$L153)*(1-$AF153)-($AD153*$O153+IF($AD153&lt;=15000,1000,IF($AD153&lt;=25000,2000,IF($AD153&lt;=33000,2400,0)))+N($N153))/(1+Datos!$B$2)-$AD153*Datos!$C$2,"Error"))</f>
        <v/>
      </c>
      <c r="AI153" s="61" t="str">
        <f aca="false">IF($AH153="","",IFERROR($AH153*(1+$D153),"Error"))</f>
        <v/>
      </c>
      <c r="AJ153" s="60" t="str">
        <f aca="false">IF($AH153="","",IFERROR($C153/$AH153-1,"Error"))</f>
        <v/>
      </c>
      <c r="AK153" s="63" t="str">
        <f aca="false">IF($AH153="","",IFERROR(IF($C153&lt;=$AH153,"OK a ese precio","Bajar costo"),"Error"))</f>
        <v/>
      </c>
    </row>
    <row r="154" customFormat="false" ht="15" hidden="false" customHeight="false" outlineLevel="0" collapsed="false">
      <c r="E154" s="0" t="str">
        <f aca="false">IF($C154="","",$C154*(1+$D154))</f>
        <v/>
      </c>
      <c r="J154" s="57"/>
      <c r="K154" s="57"/>
      <c r="L154" s="58"/>
      <c r="M154" s="59"/>
      <c r="N154" s="59"/>
      <c r="O154" s="60" t="str">
        <f aca="false">IF($M154="","",IFERROR(IF($K154="Clásica",VLOOKUP("Argentina"&amp;$J154,Datos!$C:$D,2,0),VLOOKUP("Argentina"&amp;$J154,Datos!$C:$D,2,0)+VLOOKUP("Argentina"&amp;$K154,Datos!$H:$I,2,0)),"Error"))</f>
        <v/>
      </c>
      <c r="P154" s="61" t="str">
        <f aca="false">IF($M154="","",IFERROR(-$M154*$O154,"Error"))</f>
        <v/>
      </c>
      <c r="Q154" s="61" t="str">
        <f aca="false">IF($M154="","",IFERROR(-($P154-$P154/(1+Datos!$B$2)),"Error"))</f>
        <v/>
      </c>
      <c r="R154" s="61" t="str">
        <f aca="false">IF($M154="","",IF($M154&lt;=15000,-1000,IF($M154&lt;=25000,-2000,IF($M154&lt;=33000,-2400,0))))</f>
        <v/>
      </c>
      <c r="S154" s="61" t="str">
        <f aca="false">IF($M154="","",-($R154-$R154/(1+Datos!$B$2)))</f>
        <v/>
      </c>
      <c r="T154" s="61" t="str">
        <f aca="false">IF($M154="","",-$M154/(1+$L154)*$L154)</f>
        <v/>
      </c>
      <c r="U154" s="61" t="str">
        <f aca="false">IF($M154="","",$C154*$D154)</f>
        <v/>
      </c>
      <c r="V154" s="61" t="str">
        <f aca="false">IF($M154="","",-N($N154))</f>
        <v/>
      </c>
      <c r="W154" s="61" t="str">
        <f aca="false">IF($M154="","",-($V154-$V154/(1+Datos!$B$2)))</f>
        <v/>
      </c>
      <c r="X154" s="61" t="str">
        <f aca="false">IF($M154="","",-$M154*Datos!$C$2)</f>
        <v/>
      </c>
      <c r="Y154" s="61" t="str">
        <f aca="false">IF($M154="","",IFERROR($M154+$U154+$T154+$P154+$Q154+$R154+$S154+$V154+$W154+$X154,"Error"))</f>
        <v/>
      </c>
      <c r="Z154" s="61" t="str">
        <f aca="false">IF($M154="","",IFERROR($Y154-$E154,"Error"))</f>
        <v/>
      </c>
      <c r="AA154" s="60" t="str">
        <f aca="false">IF($M154="","",IFERROR($Z154/($M154+$T154),"Error"))</f>
        <v/>
      </c>
      <c r="AB154" s="62" t="str">
        <f aca="false">IF($M154="","",IFERROR($M154/$E154,"Error"))</f>
        <v/>
      </c>
      <c r="AD154" s="59"/>
      <c r="AE154" s="57"/>
      <c r="AF154" s="58"/>
      <c r="AG154" s="60" t="str">
        <f aca="false">IF(N($AD154)=0,"",IFERROR(($AD154/(1+$L154)-($AD154*$O154+IF($AD154&lt;=15000,1000,IF($AD154&lt;=25000,2000,IF($AD154&lt;=33000,2400,0)))+N($N154))/(1+Datos!$B$2)-$AD154*Datos!$C$2-$C154)/($AD154/(1+$L154)),"Error"))</f>
        <v/>
      </c>
      <c r="AH154" s="61" t="str">
        <f aca="false">IF(N($AD154)=0,"",IFERROR($AD154/(1+$L154)*(1-$AF154)-($AD154*$O154+IF($AD154&lt;=15000,1000,IF($AD154&lt;=25000,2000,IF($AD154&lt;=33000,2400,0)))+N($N154))/(1+Datos!$B$2)-$AD154*Datos!$C$2,"Error"))</f>
        <v/>
      </c>
      <c r="AI154" s="61" t="str">
        <f aca="false">IF($AH154="","",IFERROR($AH154*(1+$D154),"Error"))</f>
        <v/>
      </c>
      <c r="AJ154" s="60" t="str">
        <f aca="false">IF($AH154="","",IFERROR($C154/$AH154-1,"Error"))</f>
        <v/>
      </c>
      <c r="AK154" s="63" t="str">
        <f aca="false">IF($AH154="","",IFERROR(IF($C154&lt;=$AH154,"OK a ese precio","Bajar costo"),"Error"))</f>
        <v/>
      </c>
    </row>
    <row r="155" customFormat="false" ht="15" hidden="false" customHeight="false" outlineLevel="0" collapsed="false">
      <c r="E155" s="0" t="str">
        <f aca="false">IF($C155="","",$C155*(1+$D155))</f>
        <v/>
      </c>
      <c r="J155" s="57"/>
      <c r="K155" s="57"/>
      <c r="L155" s="58"/>
      <c r="M155" s="59"/>
      <c r="N155" s="59"/>
      <c r="O155" s="60" t="str">
        <f aca="false">IF($M155="","",IFERROR(IF($K155="Clásica",VLOOKUP("Argentina"&amp;$J155,Datos!$C:$D,2,0),VLOOKUP("Argentina"&amp;$J155,Datos!$C:$D,2,0)+VLOOKUP("Argentina"&amp;$K155,Datos!$H:$I,2,0)),"Error"))</f>
        <v/>
      </c>
      <c r="P155" s="61" t="str">
        <f aca="false">IF($M155="","",IFERROR(-$M155*$O155,"Error"))</f>
        <v/>
      </c>
      <c r="Q155" s="61" t="str">
        <f aca="false">IF($M155="","",IFERROR(-($P155-$P155/(1+Datos!$B$2)),"Error"))</f>
        <v/>
      </c>
      <c r="R155" s="61" t="str">
        <f aca="false">IF($M155="","",IF($M155&lt;=15000,-1000,IF($M155&lt;=25000,-2000,IF($M155&lt;=33000,-2400,0))))</f>
        <v/>
      </c>
      <c r="S155" s="61" t="str">
        <f aca="false">IF($M155="","",-($R155-$R155/(1+Datos!$B$2)))</f>
        <v/>
      </c>
      <c r="T155" s="61" t="str">
        <f aca="false">IF($M155="","",-$M155/(1+$L155)*$L155)</f>
        <v/>
      </c>
      <c r="U155" s="61" t="str">
        <f aca="false">IF($M155="","",$C155*$D155)</f>
        <v/>
      </c>
      <c r="V155" s="61" t="str">
        <f aca="false">IF($M155="","",-N($N155))</f>
        <v/>
      </c>
      <c r="W155" s="61" t="str">
        <f aca="false">IF($M155="","",-($V155-$V155/(1+Datos!$B$2)))</f>
        <v/>
      </c>
      <c r="X155" s="61" t="str">
        <f aca="false">IF($M155="","",-$M155*Datos!$C$2)</f>
        <v/>
      </c>
      <c r="Y155" s="61" t="str">
        <f aca="false">IF($M155="","",IFERROR($M155+$U155+$T155+$P155+$Q155+$R155+$S155+$V155+$W155+$X155,"Error"))</f>
        <v/>
      </c>
      <c r="Z155" s="61" t="str">
        <f aca="false">IF($M155="","",IFERROR($Y155-$E155,"Error"))</f>
        <v/>
      </c>
      <c r="AA155" s="60" t="str">
        <f aca="false">IF($M155="","",IFERROR($Z155/($M155+$T155),"Error"))</f>
        <v/>
      </c>
      <c r="AB155" s="62" t="str">
        <f aca="false">IF($M155="","",IFERROR($M155/$E155,"Error"))</f>
        <v/>
      </c>
      <c r="AD155" s="59"/>
      <c r="AE155" s="57"/>
      <c r="AF155" s="58"/>
      <c r="AG155" s="60" t="str">
        <f aca="false">IF(N($AD155)=0,"",IFERROR(($AD155/(1+$L155)-($AD155*$O155+IF($AD155&lt;=15000,1000,IF($AD155&lt;=25000,2000,IF($AD155&lt;=33000,2400,0)))+N($N155))/(1+Datos!$B$2)-$AD155*Datos!$C$2-$C155)/($AD155/(1+$L155)),"Error"))</f>
        <v/>
      </c>
      <c r="AH155" s="61" t="str">
        <f aca="false">IF(N($AD155)=0,"",IFERROR($AD155/(1+$L155)*(1-$AF155)-($AD155*$O155+IF($AD155&lt;=15000,1000,IF($AD155&lt;=25000,2000,IF($AD155&lt;=33000,2400,0)))+N($N155))/(1+Datos!$B$2)-$AD155*Datos!$C$2,"Error"))</f>
        <v/>
      </c>
      <c r="AI155" s="61" t="str">
        <f aca="false">IF($AH155="","",IFERROR($AH155*(1+$D155),"Error"))</f>
        <v/>
      </c>
      <c r="AJ155" s="60" t="str">
        <f aca="false">IF($AH155="","",IFERROR($C155/$AH155-1,"Error"))</f>
        <v/>
      </c>
      <c r="AK155" s="63" t="str">
        <f aca="false">IF($AH155="","",IFERROR(IF($C155&lt;=$AH155,"OK a ese precio","Bajar costo"),"Error"))</f>
        <v/>
      </c>
    </row>
    <row r="156" customFormat="false" ht="15" hidden="false" customHeight="false" outlineLevel="0" collapsed="false">
      <c r="E156" s="0" t="str">
        <f aca="false">IF($C156="","",$C156*(1+$D156))</f>
        <v/>
      </c>
      <c r="J156" s="57"/>
      <c r="K156" s="57"/>
      <c r="L156" s="58"/>
      <c r="M156" s="59"/>
      <c r="N156" s="59"/>
      <c r="O156" s="60" t="str">
        <f aca="false">IF($M156="","",IFERROR(IF($K156="Clásica",VLOOKUP("Argentina"&amp;$J156,Datos!$C:$D,2,0),VLOOKUP("Argentina"&amp;$J156,Datos!$C:$D,2,0)+VLOOKUP("Argentina"&amp;$K156,Datos!$H:$I,2,0)),"Error"))</f>
        <v/>
      </c>
      <c r="P156" s="61" t="str">
        <f aca="false">IF($M156="","",IFERROR(-$M156*$O156,"Error"))</f>
        <v/>
      </c>
      <c r="Q156" s="61" t="str">
        <f aca="false">IF($M156="","",IFERROR(-($P156-$P156/(1+Datos!$B$2)),"Error"))</f>
        <v/>
      </c>
      <c r="R156" s="61" t="str">
        <f aca="false">IF($M156="","",IF($M156&lt;=15000,-1000,IF($M156&lt;=25000,-2000,IF($M156&lt;=33000,-2400,0))))</f>
        <v/>
      </c>
      <c r="S156" s="61" t="str">
        <f aca="false">IF($M156="","",-($R156-$R156/(1+Datos!$B$2)))</f>
        <v/>
      </c>
      <c r="T156" s="61" t="str">
        <f aca="false">IF($M156="","",-$M156/(1+$L156)*$L156)</f>
        <v/>
      </c>
      <c r="U156" s="61" t="str">
        <f aca="false">IF($M156="","",$C156*$D156)</f>
        <v/>
      </c>
      <c r="V156" s="61" t="str">
        <f aca="false">IF($M156="","",-N($N156))</f>
        <v/>
      </c>
      <c r="W156" s="61" t="str">
        <f aca="false">IF($M156="","",-($V156-$V156/(1+Datos!$B$2)))</f>
        <v/>
      </c>
      <c r="X156" s="61" t="str">
        <f aca="false">IF($M156="","",-$M156*Datos!$C$2)</f>
        <v/>
      </c>
      <c r="Y156" s="61" t="str">
        <f aca="false">IF($M156="","",IFERROR($M156+$U156+$T156+$P156+$Q156+$R156+$S156+$V156+$W156+$X156,"Error"))</f>
        <v/>
      </c>
      <c r="Z156" s="61" t="str">
        <f aca="false">IF($M156="","",IFERROR($Y156-$E156,"Error"))</f>
        <v/>
      </c>
      <c r="AA156" s="60" t="str">
        <f aca="false">IF($M156="","",IFERROR($Z156/($M156+$T156),"Error"))</f>
        <v/>
      </c>
      <c r="AB156" s="62" t="str">
        <f aca="false">IF($M156="","",IFERROR($M156/$E156,"Error"))</f>
        <v/>
      </c>
      <c r="AD156" s="59"/>
      <c r="AE156" s="57"/>
      <c r="AF156" s="58"/>
      <c r="AG156" s="60" t="str">
        <f aca="false">IF(N($AD156)=0,"",IFERROR(($AD156/(1+$L156)-($AD156*$O156+IF($AD156&lt;=15000,1000,IF($AD156&lt;=25000,2000,IF($AD156&lt;=33000,2400,0)))+N($N156))/(1+Datos!$B$2)-$AD156*Datos!$C$2-$C156)/($AD156/(1+$L156)),"Error"))</f>
        <v/>
      </c>
      <c r="AH156" s="61" t="str">
        <f aca="false">IF(N($AD156)=0,"",IFERROR($AD156/(1+$L156)*(1-$AF156)-($AD156*$O156+IF($AD156&lt;=15000,1000,IF($AD156&lt;=25000,2000,IF($AD156&lt;=33000,2400,0)))+N($N156))/(1+Datos!$B$2)-$AD156*Datos!$C$2,"Error"))</f>
        <v/>
      </c>
      <c r="AI156" s="61" t="str">
        <f aca="false">IF($AH156="","",IFERROR($AH156*(1+$D156),"Error"))</f>
        <v/>
      </c>
      <c r="AJ156" s="60" t="str">
        <f aca="false">IF($AH156="","",IFERROR($C156/$AH156-1,"Error"))</f>
        <v/>
      </c>
      <c r="AK156" s="63" t="str">
        <f aca="false">IF($AH156="","",IFERROR(IF($C156&lt;=$AH156,"OK a ese precio","Bajar costo"),"Error"))</f>
        <v/>
      </c>
    </row>
    <row r="157" customFormat="false" ht="15" hidden="false" customHeight="false" outlineLevel="0" collapsed="false">
      <c r="E157" s="0" t="str">
        <f aca="false">IF($C157="","",$C157*(1+$D157))</f>
        <v/>
      </c>
      <c r="J157" s="57"/>
      <c r="K157" s="57"/>
      <c r="L157" s="58"/>
      <c r="M157" s="59"/>
      <c r="N157" s="59"/>
      <c r="O157" s="60" t="str">
        <f aca="false">IF($M157="","",IFERROR(IF($K157="Clásica",VLOOKUP("Argentina"&amp;$J157,Datos!$C:$D,2,0),VLOOKUP("Argentina"&amp;$J157,Datos!$C:$D,2,0)+VLOOKUP("Argentina"&amp;$K157,Datos!$H:$I,2,0)),"Error"))</f>
        <v/>
      </c>
      <c r="P157" s="61" t="str">
        <f aca="false">IF($M157="","",IFERROR(-$M157*$O157,"Error"))</f>
        <v/>
      </c>
      <c r="Q157" s="61" t="str">
        <f aca="false">IF($M157="","",IFERROR(-($P157-$P157/(1+Datos!$B$2)),"Error"))</f>
        <v/>
      </c>
      <c r="R157" s="61" t="str">
        <f aca="false">IF($M157="","",IF($M157&lt;=15000,-1000,IF($M157&lt;=25000,-2000,IF($M157&lt;=33000,-2400,0))))</f>
        <v/>
      </c>
      <c r="S157" s="61" t="str">
        <f aca="false">IF($M157="","",-($R157-$R157/(1+Datos!$B$2)))</f>
        <v/>
      </c>
      <c r="T157" s="61" t="str">
        <f aca="false">IF($M157="","",-$M157/(1+$L157)*$L157)</f>
        <v/>
      </c>
      <c r="U157" s="61" t="str">
        <f aca="false">IF($M157="","",$C157*$D157)</f>
        <v/>
      </c>
      <c r="V157" s="61" t="str">
        <f aca="false">IF($M157="","",-N($N157))</f>
        <v/>
      </c>
      <c r="W157" s="61" t="str">
        <f aca="false">IF($M157="","",-($V157-$V157/(1+Datos!$B$2)))</f>
        <v/>
      </c>
      <c r="X157" s="61" t="str">
        <f aca="false">IF($M157="","",-$M157*Datos!$C$2)</f>
        <v/>
      </c>
      <c r="Y157" s="61" t="str">
        <f aca="false">IF($M157="","",IFERROR($M157+$U157+$T157+$P157+$Q157+$R157+$S157+$V157+$W157+$X157,"Error"))</f>
        <v/>
      </c>
      <c r="Z157" s="61" t="str">
        <f aca="false">IF($M157="","",IFERROR($Y157-$E157,"Error"))</f>
        <v/>
      </c>
      <c r="AA157" s="60" t="str">
        <f aca="false">IF($M157="","",IFERROR($Z157/($M157+$T157),"Error"))</f>
        <v/>
      </c>
      <c r="AB157" s="62" t="str">
        <f aca="false">IF($M157="","",IFERROR($M157/$E157,"Error"))</f>
        <v/>
      </c>
      <c r="AD157" s="59"/>
      <c r="AE157" s="57"/>
      <c r="AF157" s="58"/>
      <c r="AG157" s="60" t="str">
        <f aca="false">IF(N($AD157)=0,"",IFERROR(($AD157/(1+$L157)-($AD157*$O157+IF($AD157&lt;=15000,1000,IF($AD157&lt;=25000,2000,IF($AD157&lt;=33000,2400,0)))+N($N157))/(1+Datos!$B$2)-$AD157*Datos!$C$2-$C157)/($AD157/(1+$L157)),"Error"))</f>
        <v/>
      </c>
      <c r="AH157" s="61" t="str">
        <f aca="false">IF(N($AD157)=0,"",IFERROR($AD157/(1+$L157)*(1-$AF157)-($AD157*$O157+IF($AD157&lt;=15000,1000,IF($AD157&lt;=25000,2000,IF($AD157&lt;=33000,2400,0)))+N($N157))/(1+Datos!$B$2)-$AD157*Datos!$C$2,"Error"))</f>
        <v/>
      </c>
      <c r="AI157" s="61" t="str">
        <f aca="false">IF($AH157="","",IFERROR($AH157*(1+$D157),"Error"))</f>
        <v/>
      </c>
      <c r="AJ157" s="60" t="str">
        <f aca="false">IF($AH157="","",IFERROR($C157/$AH157-1,"Error"))</f>
        <v/>
      </c>
      <c r="AK157" s="63" t="str">
        <f aca="false">IF($AH157="","",IFERROR(IF($C157&lt;=$AH157,"OK a ese precio","Bajar costo"),"Error"))</f>
        <v/>
      </c>
    </row>
    <row r="158" customFormat="false" ht="15" hidden="false" customHeight="false" outlineLevel="0" collapsed="false">
      <c r="E158" s="0" t="str">
        <f aca="false">IF($C158="","",$C158*(1+$D158))</f>
        <v/>
      </c>
      <c r="J158" s="57"/>
      <c r="K158" s="57"/>
      <c r="L158" s="58"/>
      <c r="M158" s="59"/>
      <c r="N158" s="59"/>
      <c r="O158" s="60" t="str">
        <f aca="false">IF($M158="","",IFERROR(IF($K158="Clásica",VLOOKUP("Argentina"&amp;$J158,Datos!$C:$D,2,0),VLOOKUP("Argentina"&amp;$J158,Datos!$C:$D,2,0)+VLOOKUP("Argentina"&amp;$K158,Datos!$H:$I,2,0)),"Error"))</f>
        <v/>
      </c>
      <c r="P158" s="61" t="str">
        <f aca="false">IF($M158="","",IFERROR(-$M158*$O158,"Error"))</f>
        <v/>
      </c>
      <c r="Q158" s="61" t="str">
        <f aca="false">IF($M158="","",IFERROR(-($P158-$P158/(1+Datos!$B$2)),"Error"))</f>
        <v/>
      </c>
      <c r="R158" s="61" t="str">
        <f aca="false">IF($M158="","",IF($M158&lt;=15000,-1000,IF($M158&lt;=25000,-2000,IF($M158&lt;=33000,-2400,0))))</f>
        <v/>
      </c>
      <c r="S158" s="61" t="str">
        <f aca="false">IF($M158="","",-($R158-$R158/(1+Datos!$B$2)))</f>
        <v/>
      </c>
      <c r="T158" s="61" t="str">
        <f aca="false">IF($M158="","",-$M158/(1+$L158)*$L158)</f>
        <v/>
      </c>
      <c r="U158" s="61" t="str">
        <f aca="false">IF($M158="","",$C158*$D158)</f>
        <v/>
      </c>
      <c r="V158" s="61" t="str">
        <f aca="false">IF($M158="","",-N($N158))</f>
        <v/>
      </c>
      <c r="W158" s="61" t="str">
        <f aca="false">IF($M158="","",-($V158-$V158/(1+Datos!$B$2)))</f>
        <v/>
      </c>
      <c r="X158" s="61" t="str">
        <f aca="false">IF($M158="","",-$M158*Datos!$C$2)</f>
        <v/>
      </c>
      <c r="Y158" s="61" t="str">
        <f aca="false">IF($M158="","",IFERROR($M158+$U158+$T158+$P158+$Q158+$R158+$S158+$V158+$W158+$X158,"Error"))</f>
        <v/>
      </c>
      <c r="Z158" s="61" t="str">
        <f aca="false">IF($M158="","",IFERROR($Y158-$E158,"Error"))</f>
        <v/>
      </c>
      <c r="AA158" s="60" t="str">
        <f aca="false">IF($M158="","",IFERROR($Z158/($M158+$T158),"Error"))</f>
        <v/>
      </c>
      <c r="AB158" s="62" t="str">
        <f aca="false">IF($M158="","",IFERROR($M158/$E158,"Error"))</f>
        <v/>
      </c>
      <c r="AD158" s="59"/>
      <c r="AE158" s="57"/>
      <c r="AF158" s="58"/>
      <c r="AG158" s="60" t="str">
        <f aca="false">IF(N($AD158)=0,"",IFERROR(($AD158/(1+$L158)-($AD158*$O158+IF($AD158&lt;=15000,1000,IF($AD158&lt;=25000,2000,IF($AD158&lt;=33000,2400,0)))+N($N158))/(1+Datos!$B$2)-$AD158*Datos!$C$2-$C158)/($AD158/(1+$L158)),"Error"))</f>
        <v/>
      </c>
      <c r="AH158" s="61" t="str">
        <f aca="false">IF(N($AD158)=0,"",IFERROR($AD158/(1+$L158)*(1-$AF158)-($AD158*$O158+IF($AD158&lt;=15000,1000,IF($AD158&lt;=25000,2000,IF($AD158&lt;=33000,2400,0)))+N($N158))/(1+Datos!$B$2)-$AD158*Datos!$C$2,"Error"))</f>
        <v/>
      </c>
      <c r="AI158" s="61" t="str">
        <f aca="false">IF($AH158="","",IFERROR($AH158*(1+$D158),"Error"))</f>
        <v/>
      </c>
      <c r="AJ158" s="60" t="str">
        <f aca="false">IF($AH158="","",IFERROR($C158/$AH158-1,"Error"))</f>
        <v/>
      </c>
      <c r="AK158" s="63" t="str">
        <f aca="false">IF($AH158="","",IFERROR(IF($C158&lt;=$AH158,"OK a ese precio","Bajar costo"),"Error"))</f>
        <v/>
      </c>
    </row>
    <row r="159" customFormat="false" ht="15" hidden="false" customHeight="false" outlineLevel="0" collapsed="false">
      <c r="E159" s="0" t="str">
        <f aca="false">IF($C159="","",$C159*(1+$D159))</f>
        <v/>
      </c>
      <c r="J159" s="57"/>
      <c r="K159" s="57"/>
      <c r="L159" s="58"/>
      <c r="M159" s="59"/>
      <c r="N159" s="59"/>
      <c r="O159" s="60" t="str">
        <f aca="false">IF($M159="","",IFERROR(IF($K159="Clásica",VLOOKUP("Argentina"&amp;$J159,Datos!$C:$D,2,0),VLOOKUP("Argentina"&amp;$J159,Datos!$C:$D,2,0)+VLOOKUP("Argentina"&amp;$K159,Datos!$H:$I,2,0)),"Error"))</f>
        <v/>
      </c>
      <c r="P159" s="61" t="str">
        <f aca="false">IF($M159="","",IFERROR(-$M159*$O159,"Error"))</f>
        <v/>
      </c>
      <c r="Q159" s="61" t="str">
        <f aca="false">IF($M159="","",IFERROR(-($P159-$P159/(1+Datos!$B$2)),"Error"))</f>
        <v/>
      </c>
      <c r="R159" s="61" t="str">
        <f aca="false">IF($M159="","",IF($M159&lt;=15000,-1000,IF($M159&lt;=25000,-2000,IF($M159&lt;=33000,-2400,0))))</f>
        <v/>
      </c>
      <c r="S159" s="61" t="str">
        <f aca="false">IF($M159="","",-($R159-$R159/(1+Datos!$B$2)))</f>
        <v/>
      </c>
      <c r="T159" s="61" t="str">
        <f aca="false">IF($M159="","",-$M159/(1+$L159)*$L159)</f>
        <v/>
      </c>
      <c r="U159" s="61" t="str">
        <f aca="false">IF($M159="","",$C159*$D159)</f>
        <v/>
      </c>
      <c r="V159" s="61" t="str">
        <f aca="false">IF($M159="","",-N($N159))</f>
        <v/>
      </c>
      <c r="W159" s="61" t="str">
        <f aca="false">IF($M159="","",-($V159-$V159/(1+Datos!$B$2)))</f>
        <v/>
      </c>
      <c r="X159" s="61" t="str">
        <f aca="false">IF($M159="","",-$M159*Datos!$C$2)</f>
        <v/>
      </c>
      <c r="Y159" s="61" t="str">
        <f aca="false">IF($M159="","",IFERROR($M159+$U159+$T159+$P159+$Q159+$R159+$S159+$V159+$W159+$X159,"Error"))</f>
        <v/>
      </c>
      <c r="Z159" s="61" t="str">
        <f aca="false">IF($M159="","",IFERROR($Y159-$E159,"Error"))</f>
        <v/>
      </c>
      <c r="AA159" s="60" t="str">
        <f aca="false">IF($M159="","",IFERROR($Z159/($M159+$T159),"Error"))</f>
        <v/>
      </c>
      <c r="AB159" s="62" t="str">
        <f aca="false">IF($M159="","",IFERROR($M159/$E159,"Error"))</f>
        <v/>
      </c>
      <c r="AD159" s="59"/>
      <c r="AE159" s="57"/>
      <c r="AF159" s="58"/>
      <c r="AG159" s="60" t="str">
        <f aca="false">IF(N($AD159)=0,"",IFERROR(($AD159/(1+$L159)-($AD159*$O159+IF($AD159&lt;=15000,1000,IF($AD159&lt;=25000,2000,IF($AD159&lt;=33000,2400,0)))+N($N159))/(1+Datos!$B$2)-$AD159*Datos!$C$2-$C159)/($AD159/(1+$L159)),"Error"))</f>
        <v/>
      </c>
      <c r="AH159" s="61" t="str">
        <f aca="false">IF(N($AD159)=0,"",IFERROR($AD159/(1+$L159)*(1-$AF159)-($AD159*$O159+IF($AD159&lt;=15000,1000,IF($AD159&lt;=25000,2000,IF($AD159&lt;=33000,2400,0)))+N($N159))/(1+Datos!$B$2)-$AD159*Datos!$C$2,"Error"))</f>
        <v/>
      </c>
      <c r="AI159" s="61" t="str">
        <f aca="false">IF($AH159="","",IFERROR($AH159*(1+$D159),"Error"))</f>
        <v/>
      </c>
      <c r="AJ159" s="60" t="str">
        <f aca="false">IF($AH159="","",IFERROR($C159/$AH159-1,"Error"))</f>
        <v/>
      </c>
      <c r="AK159" s="63" t="str">
        <f aca="false">IF($AH159="","",IFERROR(IF($C159&lt;=$AH159,"OK a ese precio","Bajar costo"),"Error"))</f>
        <v/>
      </c>
    </row>
    <row r="160" customFormat="false" ht="15" hidden="false" customHeight="false" outlineLevel="0" collapsed="false">
      <c r="E160" s="0" t="str">
        <f aca="false">IF($C160="","",$C160*(1+$D160))</f>
        <v/>
      </c>
      <c r="J160" s="57"/>
      <c r="K160" s="57"/>
      <c r="L160" s="58"/>
      <c r="M160" s="59"/>
      <c r="N160" s="59"/>
      <c r="O160" s="60" t="str">
        <f aca="false">IF($M160="","",IFERROR(IF($K160="Clásica",VLOOKUP("Argentina"&amp;$J160,Datos!$C:$D,2,0),VLOOKUP("Argentina"&amp;$J160,Datos!$C:$D,2,0)+VLOOKUP("Argentina"&amp;$K160,Datos!$H:$I,2,0)),"Error"))</f>
        <v/>
      </c>
      <c r="P160" s="61" t="str">
        <f aca="false">IF($M160="","",IFERROR(-$M160*$O160,"Error"))</f>
        <v/>
      </c>
      <c r="Q160" s="61" t="str">
        <f aca="false">IF($M160="","",IFERROR(-($P160-$P160/(1+Datos!$B$2)),"Error"))</f>
        <v/>
      </c>
      <c r="R160" s="61" t="str">
        <f aca="false">IF($M160="","",IF($M160&lt;=15000,-1000,IF($M160&lt;=25000,-2000,IF($M160&lt;=33000,-2400,0))))</f>
        <v/>
      </c>
      <c r="S160" s="61" t="str">
        <f aca="false">IF($M160="","",-($R160-$R160/(1+Datos!$B$2)))</f>
        <v/>
      </c>
      <c r="T160" s="61" t="str">
        <f aca="false">IF($M160="","",-$M160/(1+$L160)*$L160)</f>
        <v/>
      </c>
      <c r="U160" s="61" t="str">
        <f aca="false">IF($M160="","",$C160*$D160)</f>
        <v/>
      </c>
      <c r="V160" s="61" t="str">
        <f aca="false">IF($M160="","",-N($N160))</f>
        <v/>
      </c>
      <c r="W160" s="61" t="str">
        <f aca="false">IF($M160="","",-($V160-$V160/(1+Datos!$B$2)))</f>
        <v/>
      </c>
      <c r="X160" s="61" t="str">
        <f aca="false">IF($M160="","",-$M160*Datos!$C$2)</f>
        <v/>
      </c>
      <c r="Y160" s="61" t="str">
        <f aca="false">IF($M160="","",IFERROR($M160+$U160+$T160+$P160+$Q160+$R160+$S160+$V160+$W160+$X160,"Error"))</f>
        <v/>
      </c>
      <c r="Z160" s="61" t="str">
        <f aca="false">IF($M160="","",IFERROR($Y160-$E160,"Error"))</f>
        <v/>
      </c>
      <c r="AA160" s="60" t="str">
        <f aca="false">IF($M160="","",IFERROR($Z160/($M160+$T160),"Error"))</f>
        <v/>
      </c>
      <c r="AB160" s="62" t="str">
        <f aca="false">IF($M160="","",IFERROR($M160/$E160,"Error"))</f>
        <v/>
      </c>
      <c r="AD160" s="59"/>
      <c r="AE160" s="57"/>
      <c r="AF160" s="58"/>
      <c r="AG160" s="60" t="str">
        <f aca="false">IF(N($AD160)=0,"",IFERROR(($AD160/(1+$L160)-($AD160*$O160+IF($AD160&lt;=15000,1000,IF($AD160&lt;=25000,2000,IF($AD160&lt;=33000,2400,0)))+N($N160))/(1+Datos!$B$2)-$AD160*Datos!$C$2-$C160)/($AD160/(1+$L160)),"Error"))</f>
        <v/>
      </c>
      <c r="AH160" s="61" t="str">
        <f aca="false">IF(N($AD160)=0,"",IFERROR($AD160/(1+$L160)*(1-$AF160)-($AD160*$O160+IF($AD160&lt;=15000,1000,IF($AD160&lt;=25000,2000,IF($AD160&lt;=33000,2400,0)))+N($N160))/(1+Datos!$B$2)-$AD160*Datos!$C$2,"Error"))</f>
        <v/>
      </c>
      <c r="AI160" s="61" t="str">
        <f aca="false">IF($AH160="","",IFERROR($AH160*(1+$D160),"Error"))</f>
        <v/>
      </c>
      <c r="AJ160" s="60" t="str">
        <f aca="false">IF($AH160="","",IFERROR($C160/$AH160-1,"Error"))</f>
        <v/>
      </c>
      <c r="AK160" s="63" t="str">
        <f aca="false">IF($AH160="","",IFERROR(IF($C160&lt;=$AH160,"OK a ese precio","Bajar costo"),"Error"))</f>
        <v/>
      </c>
    </row>
    <row r="161" customFormat="false" ht="15" hidden="false" customHeight="false" outlineLevel="0" collapsed="false">
      <c r="E161" s="0" t="str">
        <f aca="false">IF($C161="","",$C161*(1+$D161))</f>
        <v/>
      </c>
      <c r="J161" s="57"/>
      <c r="K161" s="57"/>
      <c r="L161" s="58"/>
      <c r="M161" s="59"/>
      <c r="N161" s="59"/>
      <c r="O161" s="60" t="str">
        <f aca="false">IF($M161="","",IFERROR(IF($K161="Clásica",VLOOKUP("Argentina"&amp;$J161,Datos!$C:$D,2,0),VLOOKUP("Argentina"&amp;$J161,Datos!$C:$D,2,0)+VLOOKUP("Argentina"&amp;$K161,Datos!$H:$I,2,0)),"Error"))</f>
        <v/>
      </c>
      <c r="P161" s="61" t="str">
        <f aca="false">IF($M161="","",IFERROR(-$M161*$O161,"Error"))</f>
        <v/>
      </c>
      <c r="Q161" s="61" t="str">
        <f aca="false">IF($M161="","",IFERROR(-($P161-$P161/(1+Datos!$B$2)),"Error"))</f>
        <v/>
      </c>
      <c r="R161" s="61" t="str">
        <f aca="false">IF($M161="","",IF($M161&lt;=15000,-1000,IF($M161&lt;=25000,-2000,IF($M161&lt;=33000,-2400,0))))</f>
        <v/>
      </c>
      <c r="S161" s="61" t="str">
        <f aca="false">IF($M161="","",-($R161-$R161/(1+Datos!$B$2)))</f>
        <v/>
      </c>
      <c r="T161" s="61" t="str">
        <f aca="false">IF($M161="","",-$M161/(1+$L161)*$L161)</f>
        <v/>
      </c>
      <c r="U161" s="61" t="str">
        <f aca="false">IF($M161="","",$C161*$D161)</f>
        <v/>
      </c>
      <c r="V161" s="61" t="str">
        <f aca="false">IF($M161="","",-N($N161))</f>
        <v/>
      </c>
      <c r="W161" s="61" t="str">
        <f aca="false">IF($M161="","",-($V161-$V161/(1+Datos!$B$2)))</f>
        <v/>
      </c>
      <c r="X161" s="61" t="str">
        <f aca="false">IF($M161="","",-$M161*Datos!$C$2)</f>
        <v/>
      </c>
      <c r="Y161" s="61" t="str">
        <f aca="false">IF($M161="","",IFERROR($M161+$U161+$T161+$P161+$Q161+$R161+$S161+$V161+$W161+$X161,"Error"))</f>
        <v/>
      </c>
      <c r="Z161" s="61" t="str">
        <f aca="false">IF($M161="","",IFERROR($Y161-$E161,"Error"))</f>
        <v/>
      </c>
      <c r="AA161" s="60" t="str">
        <f aca="false">IF($M161="","",IFERROR($Z161/($M161+$T161),"Error"))</f>
        <v/>
      </c>
      <c r="AB161" s="62" t="str">
        <f aca="false">IF($M161="","",IFERROR($M161/$E161,"Error"))</f>
        <v/>
      </c>
      <c r="AD161" s="59"/>
      <c r="AE161" s="57"/>
      <c r="AF161" s="58"/>
      <c r="AG161" s="60" t="str">
        <f aca="false">IF(N($AD161)=0,"",IFERROR(($AD161/(1+$L161)-($AD161*$O161+IF($AD161&lt;=15000,1000,IF($AD161&lt;=25000,2000,IF($AD161&lt;=33000,2400,0)))+N($N161))/(1+Datos!$B$2)-$AD161*Datos!$C$2-$C161)/($AD161/(1+$L161)),"Error"))</f>
        <v/>
      </c>
      <c r="AH161" s="61" t="str">
        <f aca="false">IF(N($AD161)=0,"",IFERROR($AD161/(1+$L161)*(1-$AF161)-($AD161*$O161+IF($AD161&lt;=15000,1000,IF($AD161&lt;=25000,2000,IF($AD161&lt;=33000,2400,0)))+N($N161))/(1+Datos!$B$2)-$AD161*Datos!$C$2,"Error"))</f>
        <v/>
      </c>
      <c r="AI161" s="61" t="str">
        <f aca="false">IF($AH161="","",IFERROR($AH161*(1+$D161),"Error"))</f>
        <v/>
      </c>
      <c r="AJ161" s="60" t="str">
        <f aca="false">IF($AH161="","",IFERROR($C161/$AH161-1,"Error"))</f>
        <v/>
      </c>
      <c r="AK161" s="63" t="str">
        <f aca="false">IF($AH161="","",IFERROR(IF($C161&lt;=$AH161,"OK a ese precio","Bajar costo"),"Error"))</f>
        <v/>
      </c>
    </row>
    <row r="162" customFormat="false" ht="15" hidden="false" customHeight="false" outlineLevel="0" collapsed="false">
      <c r="E162" s="0" t="str">
        <f aca="false">IF($C162="","",$C162*(1+$D162))</f>
        <v/>
      </c>
      <c r="J162" s="57"/>
      <c r="K162" s="57"/>
      <c r="L162" s="58"/>
      <c r="M162" s="59"/>
      <c r="N162" s="59"/>
      <c r="O162" s="60" t="str">
        <f aca="false">IF($M162="","",IFERROR(IF($K162="Clásica",VLOOKUP("Argentina"&amp;$J162,Datos!$C:$D,2,0),VLOOKUP("Argentina"&amp;$J162,Datos!$C:$D,2,0)+VLOOKUP("Argentina"&amp;$K162,Datos!$H:$I,2,0)),"Error"))</f>
        <v/>
      </c>
      <c r="P162" s="61" t="str">
        <f aca="false">IF($M162="","",IFERROR(-$M162*$O162,"Error"))</f>
        <v/>
      </c>
      <c r="Q162" s="61" t="str">
        <f aca="false">IF($M162="","",IFERROR(-($P162-$P162/(1+Datos!$B$2)),"Error"))</f>
        <v/>
      </c>
      <c r="R162" s="61" t="str">
        <f aca="false">IF($M162="","",IF($M162&lt;=15000,-1000,IF($M162&lt;=25000,-2000,IF($M162&lt;=33000,-2400,0))))</f>
        <v/>
      </c>
      <c r="S162" s="61" t="str">
        <f aca="false">IF($M162="","",-($R162-$R162/(1+Datos!$B$2)))</f>
        <v/>
      </c>
      <c r="T162" s="61" t="str">
        <f aca="false">IF($M162="","",-$M162/(1+$L162)*$L162)</f>
        <v/>
      </c>
      <c r="U162" s="61" t="str">
        <f aca="false">IF($M162="","",$C162*$D162)</f>
        <v/>
      </c>
      <c r="V162" s="61" t="str">
        <f aca="false">IF($M162="","",-N($N162))</f>
        <v/>
      </c>
      <c r="W162" s="61" t="str">
        <f aca="false">IF($M162="","",-($V162-$V162/(1+Datos!$B$2)))</f>
        <v/>
      </c>
      <c r="X162" s="61" t="str">
        <f aca="false">IF($M162="","",-$M162*Datos!$C$2)</f>
        <v/>
      </c>
      <c r="Y162" s="61" t="str">
        <f aca="false">IF($M162="","",IFERROR($M162+$U162+$T162+$P162+$Q162+$R162+$S162+$V162+$W162+$X162,"Error"))</f>
        <v/>
      </c>
      <c r="Z162" s="61" t="str">
        <f aca="false">IF($M162="","",IFERROR($Y162-$E162,"Error"))</f>
        <v/>
      </c>
      <c r="AA162" s="60" t="str">
        <f aca="false">IF($M162="","",IFERROR($Z162/($M162+$T162),"Error"))</f>
        <v/>
      </c>
      <c r="AB162" s="62" t="str">
        <f aca="false">IF($M162="","",IFERROR($M162/$E162,"Error"))</f>
        <v/>
      </c>
      <c r="AD162" s="59"/>
      <c r="AE162" s="57"/>
      <c r="AF162" s="58"/>
      <c r="AG162" s="60" t="str">
        <f aca="false">IF(N($AD162)=0,"",IFERROR(($AD162/(1+$L162)-($AD162*$O162+IF($AD162&lt;=15000,1000,IF($AD162&lt;=25000,2000,IF($AD162&lt;=33000,2400,0)))+N($N162))/(1+Datos!$B$2)-$AD162*Datos!$C$2-$C162)/($AD162/(1+$L162)),"Error"))</f>
        <v/>
      </c>
      <c r="AH162" s="61" t="str">
        <f aca="false">IF(N($AD162)=0,"",IFERROR($AD162/(1+$L162)*(1-$AF162)-($AD162*$O162+IF($AD162&lt;=15000,1000,IF($AD162&lt;=25000,2000,IF($AD162&lt;=33000,2400,0)))+N($N162))/(1+Datos!$B$2)-$AD162*Datos!$C$2,"Error"))</f>
        <v/>
      </c>
      <c r="AI162" s="61" t="str">
        <f aca="false">IF($AH162="","",IFERROR($AH162*(1+$D162),"Error"))</f>
        <v/>
      </c>
      <c r="AJ162" s="60" t="str">
        <f aca="false">IF($AH162="","",IFERROR($C162/$AH162-1,"Error"))</f>
        <v/>
      </c>
      <c r="AK162" s="63" t="str">
        <f aca="false">IF($AH162="","",IFERROR(IF($C162&lt;=$AH162,"OK a ese precio","Bajar costo"),"Error"))</f>
        <v/>
      </c>
    </row>
    <row r="163" customFormat="false" ht="15" hidden="false" customHeight="false" outlineLevel="0" collapsed="false">
      <c r="E163" s="0" t="str">
        <f aca="false">IF($C163="","",$C163*(1+$D163))</f>
        <v/>
      </c>
      <c r="J163" s="57"/>
      <c r="K163" s="57"/>
      <c r="L163" s="58"/>
      <c r="M163" s="59"/>
      <c r="N163" s="59"/>
      <c r="O163" s="60" t="str">
        <f aca="false">IF($M163="","",IFERROR(IF($K163="Clásica",VLOOKUP("Argentina"&amp;$J163,Datos!$C:$D,2,0),VLOOKUP("Argentina"&amp;$J163,Datos!$C:$D,2,0)+VLOOKUP("Argentina"&amp;$K163,Datos!$H:$I,2,0)),"Error"))</f>
        <v/>
      </c>
      <c r="P163" s="61" t="str">
        <f aca="false">IF($M163="","",IFERROR(-$M163*$O163,"Error"))</f>
        <v/>
      </c>
      <c r="Q163" s="61" t="str">
        <f aca="false">IF($M163="","",IFERROR(-($P163-$P163/(1+Datos!$B$2)),"Error"))</f>
        <v/>
      </c>
      <c r="R163" s="61" t="str">
        <f aca="false">IF($M163="","",IF($M163&lt;=15000,-1000,IF($M163&lt;=25000,-2000,IF($M163&lt;=33000,-2400,0))))</f>
        <v/>
      </c>
      <c r="S163" s="61" t="str">
        <f aca="false">IF($M163="","",-($R163-$R163/(1+Datos!$B$2)))</f>
        <v/>
      </c>
      <c r="T163" s="61" t="str">
        <f aca="false">IF($M163="","",-$M163/(1+$L163)*$L163)</f>
        <v/>
      </c>
      <c r="U163" s="61" t="str">
        <f aca="false">IF($M163="","",$C163*$D163)</f>
        <v/>
      </c>
      <c r="V163" s="61" t="str">
        <f aca="false">IF($M163="","",-N($N163))</f>
        <v/>
      </c>
      <c r="W163" s="61" t="str">
        <f aca="false">IF($M163="","",-($V163-$V163/(1+Datos!$B$2)))</f>
        <v/>
      </c>
      <c r="X163" s="61" t="str">
        <f aca="false">IF($M163="","",-$M163*Datos!$C$2)</f>
        <v/>
      </c>
      <c r="Y163" s="61" t="str">
        <f aca="false">IF($M163="","",IFERROR($M163+$U163+$T163+$P163+$Q163+$R163+$S163+$V163+$W163+$X163,"Error"))</f>
        <v/>
      </c>
      <c r="Z163" s="61" t="str">
        <f aca="false">IF($M163="","",IFERROR($Y163-$E163,"Error"))</f>
        <v/>
      </c>
      <c r="AA163" s="60" t="str">
        <f aca="false">IF($M163="","",IFERROR($Z163/($M163+$T163),"Error"))</f>
        <v/>
      </c>
      <c r="AB163" s="62" t="str">
        <f aca="false">IF($M163="","",IFERROR($M163/$E163,"Error"))</f>
        <v/>
      </c>
      <c r="AD163" s="59"/>
      <c r="AE163" s="57"/>
      <c r="AF163" s="58"/>
      <c r="AG163" s="60" t="str">
        <f aca="false">IF(N($AD163)=0,"",IFERROR(($AD163/(1+$L163)-($AD163*$O163+IF($AD163&lt;=15000,1000,IF($AD163&lt;=25000,2000,IF($AD163&lt;=33000,2400,0)))+N($N163))/(1+Datos!$B$2)-$AD163*Datos!$C$2-$C163)/($AD163/(1+$L163)),"Error"))</f>
        <v/>
      </c>
      <c r="AH163" s="61" t="str">
        <f aca="false">IF(N($AD163)=0,"",IFERROR($AD163/(1+$L163)*(1-$AF163)-($AD163*$O163+IF($AD163&lt;=15000,1000,IF($AD163&lt;=25000,2000,IF($AD163&lt;=33000,2400,0)))+N($N163))/(1+Datos!$B$2)-$AD163*Datos!$C$2,"Error"))</f>
        <v/>
      </c>
      <c r="AI163" s="61" t="str">
        <f aca="false">IF($AH163="","",IFERROR($AH163*(1+$D163),"Error"))</f>
        <v/>
      </c>
      <c r="AJ163" s="60" t="str">
        <f aca="false">IF($AH163="","",IFERROR($C163/$AH163-1,"Error"))</f>
        <v/>
      </c>
      <c r="AK163" s="63" t="str">
        <f aca="false">IF($AH163="","",IFERROR(IF($C163&lt;=$AH163,"OK a ese precio","Bajar costo"),"Error"))</f>
        <v/>
      </c>
    </row>
    <row r="164" customFormat="false" ht="15" hidden="false" customHeight="false" outlineLevel="0" collapsed="false">
      <c r="E164" s="0" t="str">
        <f aca="false">IF($C164="","",$C164*(1+$D164))</f>
        <v/>
      </c>
      <c r="J164" s="57"/>
      <c r="K164" s="57"/>
      <c r="L164" s="58"/>
      <c r="M164" s="59"/>
      <c r="N164" s="59"/>
      <c r="O164" s="60" t="str">
        <f aca="false">IF($M164="","",IFERROR(IF($K164="Clásica",VLOOKUP("Argentina"&amp;$J164,Datos!$C:$D,2,0),VLOOKUP("Argentina"&amp;$J164,Datos!$C:$D,2,0)+VLOOKUP("Argentina"&amp;$K164,Datos!$H:$I,2,0)),"Error"))</f>
        <v/>
      </c>
      <c r="P164" s="61" t="str">
        <f aca="false">IF($M164="","",IFERROR(-$M164*$O164,"Error"))</f>
        <v/>
      </c>
      <c r="Q164" s="61" t="str">
        <f aca="false">IF($M164="","",IFERROR(-($P164-$P164/(1+Datos!$B$2)),"Error"))</f>
        <v/>
      </c>
      <c r="R164" s="61" t="str">
        <f aca="false">IF($M164="","",IF($M164&lt;=15000,-1000,IF($M164&lt;=25000,-2000,IF($M164&lt;=33000,-2400,0))))</f>
        <v/>
      </c>
      <c r="S164" s="61" t="str">
        <f aca="false">IF($M164="","",-($R164-$R164/(1+Datos!$B$2)))</f>
        <v/>
      </c>
      <c r="T164" s="61" t="str">
        <f aca="false">IF($M164="","",-$M164/(1+$L164)*$L164)</f>
        <v/>
      </c>
      <c r="U164" s="61" t="str">
        <f aca="false">IF($M164="","",$C164*$D164)</f>
        <v/>
      </c>
      <c r="V164" s="61" t="str">
        <f aca="false">IF($M164="","",-N($N164))</f>
        <v/>
      </c>
      <c r="W164" s="61" t="str">
        <f aca="false">IF($M164="","",-($V164-$V164/(1+Datos!$B$2)))</f>
        <v/>
      </c>
      <c r="X164" s="61" t="str">
        <f aca="false">IF($M164="","",-$M164*Datos!$C$2)</f>
        <v/>
      </c>
      <c r="Y164" s="61" t="str">
        <f aca="false">IF($M164="","",IFERROR($M164+$U164+$T164+$P164+$Q164+$R164+$S164+$V164+$W164+$X164,"Error"))</f>
        <v/>
      </c>
      <c r="Z164" s="61" t="str">
        <f aca="false">IF($M164="","",IFERROR($Y164-$E164,"Error"))</f>
        <v/>
      </c>
      <c r="AA164" s="60" t="str">
        <f aca="false">IF($M164="","",IFERROR($Z164/($M164+$T164),"Error"))</f>
        <v/>
      </c>
      <c r="AB164" s="62" t="str">
        <f aca="false">IF($M164="","",IFERROR($M164/$E164,"Error"))</f>
        <v/>
      </c>
      <c r="AD164" s="59"/>
      <c r="AE164" s="57"/>
      <c r="AF164" s="58"/>
      <c r="AG164" s="60" t="str">
        <f aca="false">IF(N($AD164)=0,"",IFERROR(($AD164/(1+$L164)-($AD164*$O164+IF($AD164&lt;=15000,1000,IF($AD164&lt;=25000,2000,IF($AD164&lt;=33000,2400,0)))+N($N164))/(1+Datos!$B$2)-$AD164*Datos!$C$2-$C164)/($AD164/(1+$L164)),"Error"))</f>
        <v/>
      </c>
      <c r="AH164" s="61" t="str">
        <f aca="false">IF(N($AD164)=0,"",IFERROR($AD164/(1+$L164)*(1-$AF164)-($AD164*$O164+IF($AD164&lt;=15000,1000,IF($AD164&lt;=25000,2000,IF($AD164&lt;=33000,2400,0)))+N($N164))/(1+Datos!$B$2)-$AD164*Datos!$C$2,"Error"))</f>
        <v/>
      </c>
      <c r="AI164" s="61" t="str">
        <f aca="false">IF($AH164="","",IFERROR($AH164*(1+$D164),"Error"))</f>
        <v/>
      </c>
      <c r="AJ164" s="60" t="str">
        <f aca="false">IF($AH164="","",IFERROR($C164/$AH164-1,"Error"))</f>
        <v/>
      </c>
      <c r="AK164" s="63" t="str">
        <f aca="false">IF($AH164="","",IFERROR(IF($C164&lt;=$AH164,"OK a ese precio","Bajar costo"),"Error"))</f>
        <v/>
      </c>
    </row>
    <row r="165" customFormat="false" ht="15" hidden="false" customHeight="false" outlineLevel="0" collapsed="false">
      <c r="E165" s="0" t="str">
        <f aca="false">IF($C165="","",$C165*(1+$D165))</f>
        <v/>
      </c>
      <c r="J165" s="57"/>
      <c r="K165" s="57"/>
      <c r="L165" s="58"/>
      <c r="M165" s="59"/>
      <c r="N165" s="59"/>
      <c r="O165" s="60" t="str">
        <f aca="false">IF($M165="","",IFERROR(IF($K165="Clásica",VLOOKUP("Argentina"&amp;$J165,Datos!$C:$D,2,0),VLOOKUP("Argentina"&amp;$J165,Datos!$C:$D,2,0)+VLOOKUP("Argentina"&amp;$K165,Datos!$H:$I,2,0)),"Error"))</f>
        <v/>
      </c>
      <c r="P165" s="61" t="str">
        <f aca="false">IF($M165="","",IFERROR(-$M165*$O165,"Error"))</f>
        <v/>
      </c>
      <c r="Q165" s="61" t="str">
        <f aca="false">IF($M165="","",IFERROR(-($P165-$P165/(1+Datos!$B$2)),"Error"))</f>
        <v/>
      </c>
      <c r="R165" s="61" t="str">
        <f aca="false">IF($M165="","",IF($M165&lt;=15000,-1000,IF($M165&lt;=25000,-2000,IF($M165&lt;=33000,-2400,0))))</f>
        <v/>
      </c>
      <c r="S165" s="61" t="str">
        <f aca="false">IF($M165="","",-($R165-$R165/(1+Datos!$B$2)))</f>
        <v/>
      </c>
      <c r="T165" s="61" t="str">
        <f aca="false">IF($M165="","",-$M165/(1+$L165)*$L165)</f>
        <v/>
      </c>
      <c r="U165" s="61" t="str">
        <f aca="false">IF($M165="","",$C165*$D165)</f>
        <v/>
      </c>
      <c r="V165" s="61" t="str">
        <f aca="false">IF($M165="","",-N($N165))</f>
        <v/>
      </c>
      <c r="W165" s="61" t="str">
        <f aca="false">IF($M165="","",-($V165-$V165/(1+Datos!$B$2)))</f>
        <v/>
      </c>
      <c r="X165" s="61" t="str">
        <f aca="false">IF($M165="","",-$M165*Datos!$C$2)</f>
        <v/>
      </c>
      <c r="Y165" s="61" t="str">
        <f aca="false">IF($M165="","",IFERROR($M165+$U165+$T165+$P165+$Q165+$R165+$S165+$V165+$W165+$X165,"Error"))</f>
        <v/>
      </c>
      <c r="Z165" s="61" t="str">
        <f aca="false">IF($M165="","",IFERROR($Y165-$E165,"Error"))</f>
        <v/>
      </c>
      <c r="AA165" s="60" t="str">
        <f aca="false">IF($M165="","",IFERROR($Z165/($M165+$T165),"Error"))</f>
        <v/>
      </c>
      <c r="AB165" s="62" t="str">
        <f aca="false">IF($M165="","",IFERROR($M165/$E165,"Error"))</f>
        <v/>
      </c>
      <c r="AD165" s="59"/>
      <c r="AE165" s="57"/>
      <c r="AF165" s="58"/>
      <c r="AG165" s="60" t="str">
        <f aca="false">IF(N($AD165)=0,"",IFERROR(($AD165/(1+$L165)-($AD165*$O165+IF($AD165&lt;=15000,1000,IF($AD165&lt;=25000,2000,IF($AD165&lt;=33000,2400,0)))+N($N165))/(1+Datos!$B$2)-$AD165*Datos!$C$2-$C165)/($AD165/(1+$L165)),"Error"))</f>
        <v/>
      </c>
      <c r="AH165" s="61" t="str">
        <f aca="false">IF(N($AD165)=0,"",IFERROR($AD165/(1+$L165)*(1-$AF165)-($AD165*$O165+IF($AD165&lt;=15000,1000,IF($AD165&lt;=25000,2000,IF($AD165&lt;=33000,2400,0)))+N($N165))/(1+Datos!$B$2)-$AD165*Datos!$C$2,"Error"))</f>
        <v/>
      </c>
      <c r="AI165" s="61" t="str">
        <f aca="false">IF($AH165="","",IFERROR($AH165*(1+$D165),"Error"))</f>
        <v/>
      </c>
      <c r="AJ165" s="60" t="str">
        <f aca="false">IF($AH165="","",IFERROR($C165/$AH165-1,"Error"))</f>
        <v/>
      </c>
      <c r="AK165" s="63" t="str">
        <f aca="false">IF($AH165="","",IFERROR(IF($C165&lt;=$AH165,"OK a ese precio","Bajar costo"),"Error"))</f>
        <v/>
      </c>
    </row>
    <row r="166" customFormat="false" ht="15" hidden="false" customHeight="false" outlineLevel="0" collapsed="false">
      <c r="E166" s="0" t="str">
        <f aca="false">IF($C166="","",$C166*(1+$D166))</f>
        <v/>
      </c>
      <c r="J166" s="57"/>
      <c r="K166" s="57"/>
      <c r="L166" s="58"/>
      <c r="M166" s="59"/>
      <c r="N166" s="59"/>
      <c r="O166" s="60" t="str">
        <f aca="false">IF($M166="","",IFERROR(IF($K166="Clásica",VLOOKUP("Argentina"&amp;$J166,Datos!$C:$D,2,0),VLOOKUP("Argentina"&amp;$J166,Datos!$C:$D,2,0)+VLOOKUP("Argentina"&amp;$K166,Datos!$H:$I,2,0)),"Error"))</f>
        <v/>
      </c>
      <c r="P166" s="61" t="str">
        <f aca="false">IF($M166="","",IFERROR(-$M166*$O166,"Error"))</f>
        <v/>
      </c>
      <c r="Q166" s="61" t="str">
        <f aca="false">IF($M166="","",IFERROR(-($P166-$P166/(1+Datos!$B$2)),"Error"))</f>
        <v/>
      </c>
      <c r="R166" s="61" t="str">
        <f aca="false">IF($M166="","",IF($M166&lt;=15000,-1000,IF($M166&lt;=25000,-2000,IF($M166&lt;=33000,-2400,0))))</f>
        <v/>
      </c>
      <c r="S166" s="61" t="str">
        <f aca="false">IF($M166="","",-($R166-$R166/(1+Datos!$B$2)))</f>
        <v/>
      </c>
      <c r="T166" s="61" t="str">
        <f aca="false">IF($M166="","",-$M166/(1+$L166)*$L166)</f>
        <v/>
      </c>
      <c r="U166" s="61" t="str">
        <f aca="false">IF($M166="","",$C166*$D166)</f>
        <v/>
      </c>
      <c r="V166" s="61" t="str">
        <f aca="false">IF($M166="","",-N($N166))</f>
        <v/>
      </c>
      <c r="W166" s="61" t="str">
        <f aca="false">IF($M166="","",-($V166-$V166/(1+Datos!$B$2)))</f>
        <v/>
      </c>
      <c r="X166" s="61" t="str">
        <f aca="false">IF($M166="","",-$M166*Datos!$C$2)</f>
        <v/>
      </c>
      <c r="Y166" s="61" t="str">
        <f aca="false">IF($M166="","",IFERROR($M166+$U166+$T166+$P166+$Q166+$R166+$S166+$V166+$W166+$X166,"Error"))</f>
        <v/>
      </c>
      <c r="Z166" s="61" t="str">
        <f aca="false">IF($M166="","",IFERROR($Y166-$E166,"Error"))</f>
        <v/>
      </c>
      <c r="AA166" s="60" t="str">
        <f aca="false">IF($M166="","",IFERROR($Z166/($M166+$T166),"Error"))</f>
        <v/>
      </c>
      <c r="AB166" s="62" t="str">
        <f aca="false">IF($M166="","",IFERROR($M166/$E166,"Error"))</f>
        <v/>
      </c>
      <c r="AD166" s="59"/>
      <c r="AE166" s="57"/>
      <c r="AF166" s="58"/>
      <c r="AG166" s="60" t="str">
        <f aca="false">IF(N($AD166)=0,"",IFERROR(($AD166/(1+$L166)-($AD166*$O166+IF($AD166&lt;=15000,1000,IF($AD166&lt;=25000,2000,IF($AD166&lt;=33000,2400,0)))+N($N166))/(1+Datos!$B$2)-$AD166*Datos!$C$2-$C166)/($AD166/(1+$L166)),"Error"))</f>
        <v/>
      </c>
      <c r="AH166" s="61" t="str">
        <f aca="false">IF(N($AD166)=0,"",IFERROR($AD166/(1+$L166)*(1-$AF166)-($AD166*$O166+IF($AD166&lt;=15000,1000,IF($AD166&lt;=25000,2000,IF($AD166&lt;=33000,2400,0)))+N($N166))/(1+Datos!$B$2)-$AD166*Datos!$C$2,"Error"))</f>
        <v/>
      </c>
      <c r="AI166" s="61" t="str">
        <f aca="false">IF($AH166="","",IFERROR($AH166*(1+$D166),"Error"))</f>
        <v/>
      </c>
      <c r="AJ166" s="60" t="str">
        <f aca="false">IF($AH166="","",IFERROR($C166/$AH166-1,"Error"))</f>
        <v/>
      </c>
      <c r="AK166" s="63" t="str">
        <f aca="false">IF($AH166="","",IFERROR(IF($C166&lt;=$AH166,"OK a ese precio","Bajar costo"),"Error"))</f>
        <v/>
      </c>
    </row>
    <row r="167" customFormat="false" ht="15" hidden="false" customHeight="false" outlineLevel="0" collapsed="false">
      <c r="E167" s="0" t="str">
        <f aca="false">IF($C167="","",$C167*(1+$D167))</f>
        <v/>
      </c>
      <c r="J167" s="57"/>
      <c r="K167" s="57"/>
      <c r="L167" s="58"/>
      <c r="M167" s="59"/>
      <c r="N167" s="59"/>
      <c r="O167" s="60" t="str">
        <f aca="false">IF($M167="","",IFERROR(IF($K167="Clásica",VLOOKUP("Argentina"&amp;$J167,Datos!$C:$D,2,0),VLOOKUP("Argentina"&amp;$J167,Datos!$C:$D,2,0)+VLOOKUP("Argentina"&amp;$K167,Datos!$H:$I,2,0)),"Error"))</f>
        <v/>
      </c>
      <c r="P167" s="61" t="str">
        <f aca="false">IF($M167="","",IFERROR(-$M167*$O167,"Error"))</f>
        <v/>
      </c>
      <c r="Q167" s="61" t="str">
        <f aca="false">IF($M167="","",IFERROR(-($P167-$P167/(1+Datos!$B$2)),"Error"))</f>
        <v/>
      </c>
      <c r="R167" s="61" t="str">
        <f aca="false">IF($M167="","",IF($M167&lt;=15000,-1000,IF($M167&lt;=25000,-2000,IF($M167&lt;=33000,-2400,0))))</f>
        <v/>
      </c>
      <c r="S167" s="61" t="str">
        <f aca="false">IF($M167="","",-($R167-$R167/(1+Datos!$B$2)))</f>
        <v/>
      </c>
      <c r="T167" s="61" t="str">
        <f aca="false">IF($M167="","",-$M167/(1+$L167)*$L167)</f>
        <v/>
      </c>
      <c r="U167" s="61" t="str">
        <f aca="false">IF($M167="","",$C167*$D167)</f>
        <v/>
      </c>
      <c r="V167" s="61" t="str">
        <f aca="false">IF($M167="","",-N($N167))</f>
        <v/>
      </c>
      <c r="W167" s="61" t="str">
        <f aca="false">IF($M167="","",-($V167-$V167/(1+Datos!$B$2)))</f>
        <v/>
      </c>
      <c r="X167" s="61" t="str">
        <f aca="false">IF($M167="","",-$M167*Datos!$C$2)</f>
        <v/>
      </c>
      <c r="Y167" s="61" t="str">
        <f aca="false">IF($M167="","",IFERROR($M167+$U167+$T167+$P167+$Q167+$R167+$S167+$V167+$W167+$X167,"Error"))</f>
        <v/>
      </c>
      <c r="Z167" s="61" t="str">
        <f aca="false">IF($M167="","",IFERROR($Y167-$E167,"Error"))</f>
        <v/>
      </c>
      <c r="AA167" s="60" t="str">
        <f aca="false">IF($M167="","",IFERROR($Z167/($M167+$T167),"Error"))</f>
        <v/>
      </c>
      <c r="AB167" s="62" t="str">
        <f aca="false">IF($M167="","",IFERROR($M167/$E167,"Error"))</f>
        <v/>
      </c>
      <c r="AD167" s="59"/>
      <c r="AE167" s="57"/>
      <c r="AF167" s="58"/>
      <c r="AG167" s="60" t="str">
        <f aca="false">IF(N($AD167)=0,"",IFERROR(($AD167/(1+$L167)-($AD167*$O167+IF($AD167&lt;=15000,1000,IF($AD167&lt;=25000,2000,IF($AD167&lt;=33000,2400,0)))+N($N167))/(1+Datos!$B$2)-$AD167*Datos!$C$2-$C167)/($AD167/(1+$L167)),"Error"))</f>
        <v/>
      </c>
      <c r="AH167" s="61" t="str">
        <f aca="false">IF(N($AD167)=0,"",IFERROR($AD167/(1+$L167)*(1-$AF167)-($AD167*$O167+IF($AD167&lt;=15000,1000,IF($AD167&lt;=25000,2000,IF($AD167&lt;=33000,2400,0)))+N($N167))/(1+Datos!$B$2)-$AD167*Datos!$C$2,"Error"))</f>
        <v/>
      </c>
      <c r="AI167" s="61" t="str">
        <f aca="false">IF($AH167="","",IFERROR($AH167*(1+$D167),"Error"))</f>
        <v/>
      </c>
      <c r="AJ167" s="60" t="str">
        <f aca="false">IF($AH167="","",IFERROR($C167/$AH167-1,"Error"))</f>
        <v/>
      </c>
      <c r="AK167" s="63" t="str">
        <f aca="false">IF($AH167="","",IFERROR(IF($C167&lt;=$AH167,"OK a ese precio","Bajar costo"),"Error"))</f>
        <v/>
      </c>
    </row>
    <row r="168" customFormat="false" ht="15" hidden="false" customHeight="false" outlineLevel="0" collapsed="false">
      <c r="E168" s="0" t="str">
        <f aca="false">IF($C168="","",$C168*(1+$D168))</f>
        <v/>
      </c>
      <c r="J168" s="57"/>
      <c r="K168" s="57"/>
      <c r="L168" s="58"/>
      <c r="M168" s="59"/>
      <c r="N168" s="59"/>
      <c r="O168" s="60" t="str">
        <f aca="false">IF($M168="","",IFERROR(IF($K168="Clásica",VLOOKUP("Argentina"&amp;$J168,Datos!$C:$D,2,0),VLOOKUP("Argentina"&amp;$J168,Datos!$C:$D,2,0)+VLOOKUP("Argentina"&amp;$K168,Datos!$H:$I,2,0)),"Error"))</f>
        <v/>
      </c>
      <c r="P168" s="61" t="str">
        <f aca="false">IF($M168="","",IFERROR(-$M168*$O168,"Error"))</f>
        <v/>
      </c>
      <c r="Q168" s="61" t="str">
        <f aca="false">IF($M168="","",IFERROR(-($P168-$P168/(1+Datos!$B$2)),"Error"))</f>
        <v/>
      </c>
      <c r="R168" s="61" t="str">
        <f aca="false">IF($M168="","",IF($M168&lt;=15000,-1000,IF($M168&lt;=25000,-2000,IF($M168&lt;=33000,-2400,0))))</f>
        <v/>
      </c>
      <c r="S168" s="61" t="str">
        <f aca="false">IF($M168="","",-($R168-$R168/(1+Datos!$B$2)))</f>
        <v/>
      </c>
      <c r="T168" s="61" t="str">
        <f aca="false">IF($M168="","",-$M168/(1+$L168)*$L168)</f>
        <v/>
      </c>
      <c r="U168" s="61" t="str">
        <f aca="false">IF($M168="","",$C168*$D168)</f>
        <v/>
      </c>
      <c r="V168" s="61" t="str">
        <f aca="false">IF($M168="","",-N($N168))</f>
        <v/>
      </c>
      <c r="W168" s="61" t="str">
        <f aca="false">IF($M168="","",-($V168-$V168/(1+Datos!$B$2)))</f>
        <v/>
      </c>
      <c r="X168" s="61" t="str">
        <f aca="false">IF($M168="","",-$M168*Datos!$C$2)</f>
        <v/>
      </c>
      <c r="Y168" s="61" t="str">
        <f aca="false">IF($M168="","",IFERROR($M168+$U168+$T168+$P168+$Q168+$R168+$S168+$V168+$W168+$X168,"Error"))</f>
        <v/>
      </c>
      <c r="Z168" s="61" t="str">
        <f aca="false">IF($M168="","",IFERROR($Y168-$E168,"Error"))</f>
        <v/>
      </c>
      <c r="AA168" s="60" t="str">
        <f aca="false">IF($M168="","",IFERROR($Z168/($M168+$T168),"Error"))</f>
        <v/>
      </c>
      <c r="AB168" s="62" t="str">
        <f aca="false">IF($M168="","",IFERROR($M168/$E168,"Error"))</f>
        <v/>
      </c>
      <c r="AD168" s="59"/>
      <c r="AE168" s="57"/>
      <c r="AF168" s="58"/>
      <c r="AG168" s="60" t="str">
        <f aca="false">IF(N($AD168)=0,"",IFERROR(($AD168/(1+$L168)-($AD168*$O168+IF($AD168&lt;=15000,1000,IF($AD168&lt;=25000,2000,IF($AD168&lt;=33000,2400,0)))+N($N168))/(1+Datos!$B$2)-$AD168*Datos!$C$2-$C168)/($AD168/(1+$L168)),"Error"))</f>
        <v/>
      </c>
      <c r="AH168" s="61" t="str">
        <f aca="false">IF(N($AD168)=0,"",IFERROR($AD168/(1+$L168)*(1-$AF168)-($AD168*$O168+IF($AD168&lt;=15000,1000,IF($AD168&lt;=25000,2000,IF($AD168&lt;=33000,2400,0)))+N($N168))/(1+Datos!$B$2)-$AD168*Datos!$C$2,"Error"))</f>
        <v/>
      </c>
      <c r="AI168" s="61" t="str">
        <f aca="false">IF($AH168="","",IFERROR($AH168*(1+$D168),"Error"))</f>
        <v/>
      </c>
      <c r="AJ168" s="60" t="str">
        <f aca="false">IF($AH168="","",IFERROR($C168/$AH168-1,"Error"))</f>
        <v/>
      </c>
      <c r="AK168" s="63" t="str">
        <f aca="false">IF($AH168="","",IFERROR(IF($C168&lt;=$AH168,"OK a ese precio","Bajar costo"),"Error"))</f>
        <v/>
      </c>
    </row>
    <row r="169" customFormat="false" ht="15" hidden="false" customHeight="false" outlineLevel="0" collapsed="false">
      <c r="E169" s="0" t="str">
        <f aca="false">IF($C169="","",$C169*(1+$D169))</f>
        <v/>
      </c>
      <c r="J169" s="57"/>
      <c r="K169" s="57"/>
      <c r="L169" s="58"/>
      <c r="M169" s="59"/>
      <c r="N169" s="59"/>
      <c r="O169" s="60" t="str">
        <f aca="false">IF($M169="","",IFERROR(IF($K169="Clásica",VLOOKUP("Argentina"&amp;$J169,Datos!$C:$D,2,0),VLOOKUP("Argentina"&amp;$J169,Datos!$C:$D,2,0)+VLOOKUP("Argentina"&amp;$K169,Datos!$H:$I,2,0)),"Error"))</f>
        <v/>
      </c>
      <c r="P169" s="61" t="str">
        <f aca="false">IF($M169="","",IFERROR(-$M169*$O169,"Error"))</f>
        <v/>
      </c>
      <c r="Q169" s="61" t="str">
        <f aca="false">IF($M169="","",IFERROR(-($P169-$P169/(1+Datos!$B$2)),"Error"))</f>
        <v/>
      </c>
      <c r="R169" s="61" t="str">
        <f aca="false">IF($M169="","",IF($M169&lt;=15000,-1000,IF($M169&lt;=25000,-2000,IF($M169&lt;=33000,-2400,0))))</f>
        <v/>
      </c>
      <c r="S169" s="61" t="str">
        <f aca="false">IF($M169="","",-($R169-$R169/(1+Datos!$B$2)))</f>
        <v/>
      </c>
      <c r="T169" s="61" t="str">
        <f aca="false">IF($M169="","",-$M169/(1+$L169)*$L169)</f>
        <v/>
      </c>
      <c r="U169" s="61" t="str">
        <f aca="false">IF($M169="","",$C169*$D169)</f>
        <v/>
      </c>
      <c r="V169" s="61" t="str">
        <f aca="false">IF($M169="","",-N($N169))</f>
        <v/>
      </c>
      <c r="W169" s="61" t="str">
        <f aca="false">IF($M169="","",-($V169-$V169/(1+Datos!$B$2)))</f>
        <v/>
      </c>
      <c r="X169" s="61" t="str">
        <f aca="false">IF($M169="","",-$M169*Datos!$C$2)</f>
        <v/>
      </c>
      <c r="Y169" s="61" t="str">
        <f aca="false">IF($M169="","",IFERROR($M169+$U169+$T169+$P169+$Q169+$R169+$S169+$V169+$W169+$X169,"Error"))</f>
        <v/>
      </c>
      <c r="Z169" s="61" t="str">
        <f aca="false">IF($M169="","",IFERROR($Y169-$E169,"Error"))</f>
        <v/>
      </c>
      <c r="AA169" s="60" t="str">
        <f aca="false">IF($M169="","",IFERROR($Z169/($M169+$T169),"Error"))</f>
        <v/>
      </c>
      <c r="AB169" s="62" t="str">
        <f aca="false">IF($M169="","",IFERROR($M169/$E169,"Error"))</f>
        <v/>
      </c>
      <c r="AD169" s="59"/>
      <c r="AE169" s="57"/>
      <c r="AF169" s="58"/>
      <c r="AG169" s="60" t="str">
        <f aca="false">IF(N($AD169)=0,"",IFERROR(($AD169/(1+$L169)-($AD169*$O169+IF($AD169&lt;=15000,1000,IF($AD169&lt;=25000,2000,IF($AD169&lt;=33000,2400,0)))+N($N169))/(1+Datos!$B$2)-$AD169*Datos!$C$2-$C169)/($AD169/(1+$L169)),"Error"))</f>
        <v/>
      </c>
      <c r="AH169" s="61" t="str">
        <f aca="false">IF(N($AD169)=0,"",IFERROR($AD169/(1+$L169)*(1-$AF169)-($AD169*$O169+IF($AD169&lt;=15000,1000,IF($AD169&lt;=25000,2000,IF($AD169&lt;=33000,2400,0)))+N($N169))/(1+Datos!$B$2)-$AD169*Datos!$C$2,"Error"))</f>
        <v/>
      </c>
      <c r="AI169" s="61" t="str">
        <f aca="false">IF($AH169="","",IFERROR($AH169*(1+$D169),"Error"))</f>
        <v/>
      </c>
      <c r="AJ169" s="60" t="str">
        <f aca="false">IF($AH169="","",IFERROR($C169/$AH169-1,"Error"))</f>
        <v/>
      </c>
      <c r="AK169" s="63" t="str">
        <f aca="false">IF($AH169="","",IFERROR(IF($C169&lt;=$AH169,"OK a ese precio","Bajar costo"),"Error"))</f>
        <v/>
      </c>
    </row>
    <row r="170" customFormat="false" ht="15" hidden="false" customHeight="false" outlineLevel="0" collapsed="false">
      <c r="E170" s="0" t="str">
        <f aca="false">IF($C170="","",$C170*(1+$D170))</f>
        <v/>
      </c>
      <c r="J170" s="57"/>
      <c r="K170" s="57"/>
      <c r="L170" s="58"/>
      <c r="M170" s="59"/>
      <c r="N170" s="59"/>
      <c r="O170" s="60" t="str">
        <f aca="false">IF($M170="","",IFERROR(IF($K170="Clásica",VLOOKUP("Argentina"&amp;$J170,Datos!$C:$D,2,0),VLOOKUP("Argentina"&amp;$J170,Datos!$C:$D,2,0)+VLOOKUP("Argentina"&amp;$K170,Datos!$H:$I,2,0)),"Error"))</f>
        <v/>
      </c>
      <c r="P170" s="61" t="str">
        <f aca="false">IF($M170="","",IFERROR(-$M170*$O170,"Error"))</f>
        <v/>
      </c>
      <c r="Q170" s="61" t="str">
        <f aca="false">IF($M170="","",IFERROR(-($P170-$P170/(1+Datos!$B$2)),"Error"))</f>
        <v/>
      </c>
      <c r="R170" s="61" t="str">
        <f aca="false">IF($M170="","",IF($M170&lt;=15000,-1000,IF($M170&lt;=25000,-2000,IF($M170&lt;=33000,-2400,0))))</f>
        <v/>
      </c>
      <c r="S170" s="61" t="str">
        <f aca="false">IF($M170="","",-($R170-$R170/(1+Datos!$B$2)))</f>
        <v/>
      </c>
      <c r="T170" s="61" t="str">
        <f aca="false">IF($M170="","",-$M170/(1+$L170)*$L170)</f>
        <v/>
      </c>
      <c r="U170" s="61" t="str">
        <f aca="false">IF($M170="","",$C170*$D170)</f>
        <v/>
      </c>
      <c r="V170" s="61" t="str">
        <f aca="false">IF($M170="","",-N($N170))</f>
        <v/>
      </c>
      <c r="W170" s="61" t="str">
        <f aca="false">IF($M170="","",-($V170-$V170/(1+Datos!$B$2)))</f>
        <v/>
      </c>
      <c r="X170" s="61" t="str">
        <f aca="false">IF($M170="","",-$M170*Datos!$C$2)</f>
        <v/>
      </c>
      <c r="Y170" s="61" t="str">
        <f aca="false">IF($M170="","",IFERROR($M170+$U170+$T170+$P170+$Q170+$R170+$S170+$V170+$W170+$X170,"Error"))</f>
        <v/>
      </c>
      <c r="Z170" s="61" t="str">
        <f aca="false">IF($M170="","",IFERROR($Y170-$E170,"Error"))</f>
        <v/>
      </c>
      <c r="AA170" s="60" t="str">
        <f aca="false">IF($M170="","",IFERROR($Z170/($M170+$T170),"Error"))</f>
        <v/>
      </c>
      <c r="AB170" s="62" t="str">
        <f aca="false">IF($M170="","",IFERROR($M170/$E170,"Error"))</f>
        <v/>
      </c>
      <c r="AD170" s="59"/>
      <c r="AE170" s="57"/>
      <c r="AF170" s="58"/>
      <c r="AG170" s="60" t="str">
        <f aca="false">IF(N($AD170)=0,"",IFERROR(($AD170/(1+$L170)-($AD170*$O170+IF($AD170&lt;=15000,1000,IF($AD170&lt;=25000,2000,IF($AD170&lt;=33000,2400,0)))+N($N170))/(1+Datos!$B$2)-$AD170*Datos!$C$2-$C170)/($AD170/(1+$L170)),"Error"))</f>
        <v/>
      </c>
      <c r="AH170" s="61" t="str">
        <f aca="false">IF(N($AD170)=0,"",IFERROR($AD170/(1+$L170)*(1-$AF170)-($AD170*$O170+IF($AD170&lt;=15000,1000,IF($AD170&lt;=25000,2000,IF($AD170&lt;=33000,2400,0)))+N($N170))/(1+Datos!$B$2)-$AD170*Datos!$C$2,"Error"))</f>
        <v/>
      </c>
      <c r="AI170" s="61" t="str">
        <f aca="false">IF($AH170="","",IFERROR($AH170*(1+$D170),"Error"))</f>
        <v/>
      </c>
      <c r="AJ170" s="60" t="str">
        <f aca="false">IF($AH170="","",IFERROR($C170/$AH170-1,"Error"))</f>
        <v/>
      </c>
      <c r="AK170" s="63" t="str">
        <f aca="false">IF($AH170="","",IFERROR(IF($C170&lt;=$AH170,"OK a ese precio","Bajar costo"),"Error"))</f>
        <v/>
      </c>
    </row>
    <row r="171" customFormat="false" ht="15" hidden="false" customHeight="false" outlineLevel="0" collapsed="false">
      <c r="E171" s="0" t="str">
        <f aca="false">IF($C171="","",$C171*(1+$D171))</f>
        <v/>
      </c>
      <c r="J171" s="57"/>
      <c r="K171" s="57"/>
      <c r="L171" s="58"/>
      <c r="M171" s="59"/>
      <c r="N171" s="59"/>
      <c r="O171" s="60" t="str">
        <f aca="false">IF($M171="","",IFERROR(IF($K171="Clásica",VLOOKUP("Argentina"&amp;$J171,Datos!$C:$D,2,0),VLOOKUP("Argentina"&amp;$J171,Datos!$C:$D,2,0)+VLOOKUP("Argentina"&amp;$K171,Datos!$H:$I,2,0)),"Error"))</f>
        <v/>
      </c>
      <c r="P171" s="61" t="str">
        <f aca="false">IF($M171="","",IFERROR(-$M171*$O171,"Error"))</f>
        <v/>
      </c>
      <c r="Q171" s="61" t="str">
        <f aca="false">IF($M171="","",IFERROR(-($P171-$P171/(1+Datos!$B$2)),"Error"))</f>
        <v/>
      </c>
      <c r="R171" s="61" t="str">
        <f aca="false">IF($M171="","",IF($M171&lt;=15000,-1000,IF($M171&lt;=25000,-2000,IF($M171&lt;=33000,-2400,0))))</f>
        <v/>
      </c>
      <c r="S171" s="61" t="str">
        <f aca="false">IF($M171="","",-($R171-$R171/(1+Datos!$B$2)))</f>
        <v/>
      </c>
      <c r="T171" s="61" t="str">
        <f aca="false">IF($M171="","",-$M171/(1+$L171)*$L171)</f>
        <v/>
      </c>
      <c r="U171" s="61" t="str">
        <f aca="false">IF($M171="","",$C171*$D171)</f>
        <v/>
      </c>
      <c r="V171" s="61" t="str">
        <f aca="false">IF($M171="","",-N($N171))</f>
        <v/>
      </c>
      <c r="W171" s="61" t="str">
        <f aca="false">IF($M171="","",-($V171-$V171/(1+Datos!$B$2)))</f>
        <v/>
      </c>
      <c r="X171" s="61" t="str">
        <f aca="false">IF($M171="","",-$M171*Datos!$C$2)</f>
        <v/>
      </c>
      <c r="Y171" s="61" t="str">
        <f aca="false">IF($M171="","",IFERROR($M171+$U171+$T171+$P171+$Q171+$R171+$S171+$V171+$W171+$X171,"Error"))</f>
        <v/>
      </c>
      <c r="Z171" s="61" t="str">
        <f aca="false">IF($M171="","",IFERROR($Y171-$E171,"Error"))</f>
        <v/>
      </c>
      <c r="AA171" s="60" t="str">
        <f aca="false">IF($M171="","",IFERROR($Z171/($M171+$T171),"Error"))</f>
        <v/>
      </c>
      <c r="AB171" s="62" t="str">
        <f aca="false">IF($M171="","",IFERROR($M171/$E171,"Error"))</f>
        <v/>
      </c>
      <c r="AD171" s="59"/>
      <c r="AE171" s="57"/>
      <c r="AF171" s="58"/>
      <c r="AG171" s="60" t="str">
        <f aca="false">IF(N($AD171)=0,"",IFERROR(($AD171/(1+$L171)-($AD171*$O171+IF($AD171&lt;=15000,1000,IF($AD171&lt;=25000,2000,IF($AD171&lt;=33000,2400,0)))+N($N171))/(1+Datos!$B$2)-$AD171*Datos!$C$2-$C171)/($AD171/(1+$L171)),"Error"))</f>
        <v/>
      </c>
      <c r="AH171" s="61" t="str">
        <f aca="false">IF(N($AD171)=0,"",IFERROR($AD171/(1+$L171)*(1-$AF171)-($AD171*$O171+IF($AD171&lt;=15000,1000,IF($AD171&lt;=25000,2000,IF($AD171&lt;=33000,2400,0)))+N($N171))/(1+Datos!$B$2)-$AD171*Datos!$C$2,"Error"))</f>
        <v/>
      </c>
      <c r="AI171" s="61" t="str">
        <f aca="false">IF($AH171="","",IFERROR($AH171*(1+$D171),"Error"))</f>
        <v/>
      </c>
      <c r="AJ171" s="60" t="str">
        <f aca="false">IF($AH171="","",IFERROR($C171/$AH171-1,"Error"))</f>
        <v/>
      </c>
      <c r="AK171" s="63" t="str">
        <f aca="false">IF($AH171="","",IFERROR(IF($C171&lt;=$AH171,"OK a ese precio","Bajar costo"),"Error"))</f>
        <v/>
      </c>
    </row>
    <row r="172" customFormat="false" ht="15" hidden="false" customHeight="false" outlineLevel="0" collapsed="false">
      <c r="E172" s="0" t="str">
        <f aca="false">IF($C172="","",$C172*(1+$D172))</f>
        <v/>
      </c>
      <c r="J172" s="57"/>
      <c r="K172" s="57"/>
      <c r="L172" s="58"/>
      <c r="M172" s="59"/>
      <c r="N172" s="59"/>
      <c r="O172" s="60" t="str">
        <f aca="false">IF($M172="","",IFERROR(IF($K172="Clásica",VLOOKUP("Argentina"&amp;$J172,Datos!$C:$D,2,0),VLOOKUP("Argentina"&amp;$J172,Datos!$C:$D,2,0)+VLOOKUP("Argentina"&amp;$K172,Datos!$H:$I,2,0)),"Error"))</f>
        <v/>
      </c>
      <c r="P172" s="61" t="str">
        <f aca="false">IF($M172="","",IFERROR(-$M172*$O172,"Error"))</f>
        <v/>
      </c>
      <c r="Q172" s="61" t="str">
        <f aca="false">IF($M172="","",IFERROR(-($P172-$P172/(1+Datos!$B$2)),"Error"))</f>
        <v/>
      </c>
      <c r="R172" s="61" t="str">
        <f aca="false">IF($M172="","",IF($M172&lt;=15000,-1000,IF($M172&lt;=25000,-2000,IF($M172&lt;=33000,-2400,0))))</f>
        <v/>
      </c>
      <c r="S172" s="61" t="str">
        <f aca="false">IF($M172="","",-($R172-$R172/(1+Datos!$B$2)))</f>
        <v/>
      </c>
      <c r="T172" s="61" t="str">
        <f aca="false">IF($M172="","",-$M172/(1+$L172)*$L172)</f>
        <v/>
      </c>
      <c r="U172" s="61" t="str">
        <f aca="false">IF($M172="","",$C172*$D172)</f>
        <v/>
      </c>
      <c r="V172" s="61" t="str">
        <f aca="false">IF($M172="","",-N($N172))</f>
        <v/>
      </c>
      <c r="W172" s="61" t="str">
        <f aca="false">IF($M172="","",-($V172-$V172/(1+Datos!$B$2)))</f>
        <v/>
      </c>
      <c r="X172" s="61" t="str">
        <f aca="false">IF($M172="","",-$M172*Datos!$C$2)</f>
        <v/>
      </c>
      <c r="Y172" s="61" t="str">
        <f aca="false">IF($M172="","",IFERROR($M172+$U172+$T172+$P172+$Q172+$R172+$S172+$V172+$W172+$X172,"Error"))</f>
        <v/>
      </c>
      <c r="Z172" s="61" t="str">
        <f aca="false">IF($M172="","",IFERROR($Y172-$E172,"Error"))</f>
        <v/>
      </c>
      <c r="AA172" s="60" t="str">
        <f aca="false">IF($M172="","",IFERROR($Z172/($M172+$T172),"Error"))</f>
        <v/>
      </c>
      <c r="AB172" s="62" t="str">
        <f aca="false">IF($M172="","",IFERROR($M172/$E172,"Error"))</f>
        <v/>
      </c>
      <c r="AD172" s="59"/>
      <c r="AE172" s="57"/>
      <c r="AF172" s="58"/>
      <c r="AG172" s="60" t="str">
        <f aca="false">IF(N($AD172)=0,"",IFERROR(($AD172/(1+$L172)-($AD172*$O172+IF($AD172&lt;=15000,1000,IF($AD172&lt;=25000,2000,IF($AD172&lt;=33000,2400,0)))+N($N172))/(1+Datos!$B$2)-$AD172*Datos!$C$2-$C172)/($AD172/(1+$L172)),"Error"))</f>
        <v/>
      </c>
      <c r="AH172" s="61" t="str">
        <f aca="false">IF(N($AD172)=0,"",IFERROR($AD172/(1+$L172)*(1-$AF172)-($AD172*$O172+IF($AD172&lt;=15000,1000,IF($AD172&lt;=25000,2000,IF($AD172&lt;=33000,2400,0)))+N($N172))/(1+Datos!$B$2)-$AD172*Datos!$C$2,"Error"))</f>
        <v/>
      </c>
      <c r="AI172" s="61" t="str">
        <f aca="false">IF($AH172="","",IFERROR($AH172*(1+$D172),"Error"))</f>
        <v/>
      </c>
      <c r="AJ172" s="60" t="str">
        <f aca="false">IF($AH172="","",IFERROR($C172/$AH172-1,"Error"))</f>
        <v/>
      </c>
      <c r="AK172" s="63" t="str">
        <f aca="false">IF($AH172="","",IFERROR(IF($C172&lt;=$AH172,"OK a ese precio","Bajar costo"),"Error"))</f>
        <v/>
      </c>
    </row>
    <row r="173" customFormat="false" ht="15" hidden="false" customHeight="false" outlineLevel="0" collapsed="false">
      <c r="E173" s="0" t="str">
        <f aca="false">IF($C173="","",$C173*(1+$D173))</f>
        <v/>
      </c>
      <c r="J173" s="57"/>
      <c r="K173" s="57"/>
      <c r="L173" s="58"/>
      <c r="M173" s="59"/>
      <c r="N173" s="59"/>
      <c r="O173" s="60" t="str">
        <f aca="false">IF($M173="","",IFERROR(IF($K173="Clásica",VLOOKUP("Argentina"&amp;$J173,Datos!$C:$D,2,0),VLOOKUP("Argentina"&amp;$J173,Datos!$C:$D,2,0)+VLOOKUP("Argentina"&amp;$K173,Datos!$H:$I,2,0)),"Error"))</f>
        <v/>
      </c>
      <c r="P173" s="61" t="str">
        <f aca="false">IF($M173="","",IFERROR(-$M173*$O173,"Error"))</f>
        <v/>
      </c>
      <c r="Q173" s="61" t="str">
        <f aca="false">IF($M173="","",IFERROR(-($P173-$P173/(1+Datos!$B$2)),"Error"))</f>
        <v/>
      </c>
      <c r="R173" s="61" t="str">
        <f aca="false">IF($M173="","",IF($M173&lt;=15000,-1000,IF($M173&lt;=25000,-2000,IF($M173&lt;=33000,-2400,0))))</f>
        <v/>
      </c>
      <c r="S173" s="61" t="str">
        <f aca="false">IF($M173="","",-($R173-$R173/(1+Datos!$B$2)))</f>
        <v/>
      </c>
      <c r="T173" s="61" t="str">
        <f aca="false">IF($M173="","",-$M173/(1+$L173)*$L173)</f>
        <v/>
      </c>
      <c r="U173" s="61" t="str">
        <f aca="false">IF($M173="","",$C173*$D173)</f>
        <v/>
      </c>
      <c r="V173" s="61" t="str">
        <f aca="false">IF($M173="","",-N($N173))</f>
        <v/>
      </c>
      <c r="W173" s="61" t="str">
        <f aca="false">IF($M173="","",-($V173-$V173/(1+Datos!$B$2)))</f>
        <v/>
      </c>
      <c r="X173" s="61" t="str">
        <f aca="false">IF($M173="","",-$M173*Datos!$C$2)</f>
        <v/>
      </c>
      <c r="Y173" s="61" t="str">
        <f aca="false">IF($M173="","",IFERROR($M173+$U173+$T173+$P173+$Q173+$R173+$S173+$V173+$W173+$X173,"Error"))</f>
        <v/>
      </c>
      <c r="Z173" s="61" t="str">
        <f aca="false">IF($M173="","",IFERROR($Y173-$E173,"Error"))</f>
        <v/>
      </c>
      <c r="AA173" s="60" t="str">
        <f aca="false">IF($M173="","",IFERROR($Z173/($M173+$T173),"Error"))</f>
        <v/>
      </c>
      <c r="AB173" s="62" t="str">
        <f aca="false">IF($M173="","",IFERROR($M173/$E173,"Error"))</f>
        <v/>
      </c>
      <c r="AD173" s="59"/>
      <c r="AE173" s="57"/>
      <c r="AF173" s="58"/>
      <c r="AG173" s="60" t="str">
        <f aca="false">IF(N($AD173)=0,"",IFERROR(($AD173/(1+$L173)-($AD173*$O173+IF($AD173&lt;=15000,1000,IF($AD173&lt;=25000,2000,IF($AD173&lt;=33000,2400,0)))+N($N173))/(1+Datos!$B$2)-$AD173*Datos!$C$2-$C173)/($AD173/(1+$L173)),"Error"))</f>
        <v/>
      </c>
      <c r="AH173" s="61" t="str">
        <f aca="false">IF(N($AD173)=0,"",IFERROR($AD173/(1+$L173)*(1-$AF173)-($AD173*$O173+IF($AD173&lt;=15000,1000,IF($AD173&lt;=25000,2000,IF($AD173&lt;=33000,2400,0)))+N($N173))/(1+Datos!$B$2)-$AD173*Datos!$C$2,"Error"))</f>
        <v/>
      </c>
      <c r="AI173" s="61" t="str">
        <f aca="false">IF($AH173="","",IFERROR($AH173*(1+$D173),"Error"))</f>
        <v/>
      </c>
      <c r="AJ173" s="60" t="str">
        <f aca="false">IF($AH173="","",IFERROR($C173/$AH173-1,"Error"))</f>
        <v/>
      </c>
      <c r="AK173" s="63" t="str">
        <f aca="false">IF($AH173="","",IFERROR(IF($C173&lt;=$AH173,"OK a ese precio","Bajar costo"),"Error"))</f>
        <v/>
      </c>
    </row>
    <row r="174" customFormat="false" ht="15" hidden="false" customHeight="false" outlineLevel="0" collapsed="false">
      <c r="E174" s="0" t="str">
        <f aca="false">IF($C174="","",$C174*(1+$D174))</f>
        <v/>
      </c>
      <c r="J174" s="57"/>
      <c r="K174" s="57"/>
      <c r="L174" s="58"/>
      <c r="M174" s="59"/>
      <c r="N174" s="59"/>
      <c r="O174" s="60" t="str">
        <f aca="false">IF($M174="","",IFERROR(IF($K174="Clásica",VLOOKUP("Argentina"&amp;$J174,Datos!$C:$D,2,0),VLOOKUP("Argentina"&amp;$J174,Datos!$C:$D,2,0)+VLOOKUP("Argentina"&amp;$K174,Datos!$H:$I,2,0)),"Error"))</f>
        <v/>
      </c>
      <c r="P174" s="61" t="str">
        <f aca="false">IF($M174="","",IFERROR(-$M174*$O174,"Error"))</f>
        <v/>
      </c>
      <c r="Q174" s="61" t="str">
        <f aca="false">IF($M174="","",IFERROR(-($P174-$P174/(1+Datos!$B$2)),"Error"))</f>
        <v/>
      </c>
      <c r="R174" s="61" t="str">
        <f aca="false">IF($M174="","",IF($M174&lt;=15000,-1000,IF($M174&lt;=25000,-2000,IF($M174&lt;=33000,-2400,0))))</f>
        <v/>
      </c>
      <c r="S174" s="61" t="str">
        <f aca="false">IF($M174="","",-($R174-$R174/(1+Datos!$B$2)))</f>
        <v/>
      </c>
      <c r="T174" s="61" t="str">
        <f aca="false">IF($M174="","",-$M174/(1+$L174)*$L174)</f>
        <v/>
      </c>
      <c r="U174" s="61" t="str">
        <f aca="false">IF($M174="","",$C174*$D174)</f>
        <v/>
      </c>
      <c r="V174" s="61" t="str">
        <f aca="false">IF($M174="","",-N($N174))</f>
        <v/>
      </c>
      <c r="W174" s="61" t="str">
        <f aca="false">IF($M174="","",-($V174-$V174/(1+Datos!$B$2)))</f>
        <v/>
      </c>
      <c r="X174" s="61" t="str">
        <f aca="false">IF($M174="","",-$M174*Datos!$C$2)</f>
        <v/>
      </c>
      <c r="Y174" s="61" t="str">
        <f aca="false">IF($M174="","",IFERROR($M174+$U174+$T174+$P174+$Q174+$R174+$S174+$V174+$W174+$X174,"Error"))</f>
        <v/>
      </c>
      <c r="Z174" s="61" t="str">
        <f aca="false">IF($M174="","",IFERROR($Y174-$E174,"Error"))</f>
        <v/>
      </c>
      <c r="AA174" s="60" t="str">
        <f aca="false">IF($M174="","",IFERROR($Z174/($M174+$T174),"Error"))</f>
        <v/>
      </c>
      <c r="AB174" s="62" t="str">
        <f aca="false">IF($M174="","",IFERROR($M174/$E174,"Error"))</f>
        <v/>
      </c>
      <c r="AD174" s="59"/>
      <c r="AE174" s="57"/>
      <c r="AF174" s="58"/>
      <c r="AG174" s="60" t="str">
        <f aca="false">IF(N($AD174)=0,"",IFERROR(($AD174/(1+$L174)-($AD174*$O174+IF($AD174&lt;=15000,1000,IF($AD174&lt;=25000,2000,IF($AD174&lt;=33000,2400,0)))+N($N174))/(1+Datos!$B$2)-$AD174*Datos!$C$2-$C174)/($AD174/(1+$L174)),"Error"))</f>
        <v/>
      </c>
      <c r="AH174" s="61" t="str">
        <f aca="false">IF(N($AD174)=0,"",IFERROR($AD174/(1+$L174)*(1-$AF174)-($AD174*$O174+IF($AD174&lt;=15000,1000,IF($AD174&lt;=25000,2000,IF($AD174&lt;=33000,2400,0)))+N($N174))/(1+Datos!$B$2)-$AD174*Datos!$C$2,"Error"))</f>
        <v/>
      </c>
      <c r="AI174" s="61" t="str">
        <f aca="false">IF($AH174="","",IFERROR($AH174*(1+$D174),"Error"))</f>
        <v/>
      </c>
      <c r="AJ174" s="60" t="str">
        <f aca="false">IF($AH174="","",IFERROR($C174/$AH174-1,"Error"))</f>
        <v/>
      </c>
      <c r="AK174" s="63" t="str">
        <f aca="false">IF($AH174="","",IFERROR(IF($C174&lt;=$AH174,"OK a ese precio","Bajar costo"),"Error"))</f>
        <v/>
      </c>
    </row>
    <row r="175" customFormat="false" ht="15" hidden="false" customHeight="false" outlineLevel="0" collapsed="false">
      <c r="E175" s="0" t="str">
        <f aca="false">IF($C175="","",$C175*(1+$D175))</f>
        <v/>
      </c>
      <c r="J175" s="57"/>
      <c r="K175" s="57"/>
      <c r="L175" s="58"/>
      <c r="M175" s="59"/>
      <c r="N175" s="59"/>
      <c r="O175" s="60" t="str">
        <f aca="false">IF($M175="","",IFERROR(IF($K175="Clásica",VLOOKUP("Argentina"&amp;$J175,Datos!$C:$D,2,0),VLOOKUP("Argentina"&amp;$J175,Datos!$C:$D,2,0)+VLOOKUP("Argentina"&amp;$K175,Datos!$H:$I,2,0)),"Error"))</f>
        <v/>
      </c>
      <c r="P175" s="61" t="str">
        <f aca="false">IF($M175="","",IFERROR(-$M175*$O175,"Error"))</f>
        <v/>
      </c>
      <c r="Q175" s="61" t="str">
        <f aca="false">IF($M175="","",IFERROR(-($P175-$P175/(1+Datos!$B$2)),"Error"))</f>
        <v/>
      </c>
      <c r="R175" s="61" t="str">
        <f aca="false">IF($M175="","",IF($M175&lt;=15000,-1000,IF($M175&lt;=25000,-2000,IF($M175&lt;=33000,-2400,0))))</f>
        <v/>
      </c>
      <c r="S175" s="61" t="str">
        <f aca="false">IF($M175="","",-($R175-$R175/(1+Datos!$B$2)))</f>
        <v/>
      </c>
      <c r="T175" s="61" t="str">
        <f aca="false">IF($M175="","",-$M175/(1+$L175)*$L175)</f>
        <v/>
      </c>
      <c r="U175" s="61" t="str">
        <f aca="false">IF($M175="","",$C175*$D175)</f>
        <v/>
      </c>
      <c r="V175" s="61" t="str">
        <f aca="false">IF($M175="","",-N($N175))</f>
        <v/>
      </c>
      <c r="W175" s="61" t="str">
        <f aca="false">IF($M175="","",-($V175-$V175/(1+Datos!$B$2)))</f>
        <v/>
      </c>
      <c r="X175" s="61" t="str">
        <f aca="false">IF($M175="","",-$M175*Datos!$C$2)</f>
        <v/>
      </c>
      <c r="Y175" s="61" t="str">
        <f aca="false">IF($M175="","",IFERROR($M175+$U175+$T175+$P175+$Q175+$R175+$S175+$V175+$W175+$X175,"Error"))</f>
        <v/>
      </c>
      <c r="Z175" s="61" t="str">
        <f aca="false">IF($M175="","",IFERROR($Y175-$E175,"Error"))</f>
        <v/>
      </c>
      <c r="AA175" s="60" t="str">
        <f aca="false">IF($M175="","",IFERROR($Z175/($M175+$T175),"Error"))</f>
        <v/>
      </c>
      <c r="AB175" s="62" t="str">
        <f aca="false">IF($M175="","",IFERROR($M175/$E175,"Error"))</f>
        <v/>
      </c>
      <c r="AD175" s="59"/>
      <c r="AE175" s="57"/>
      <c r="AF175" s="58"/>
      <c r="AG175" s="60" t="str">
        <f aca="false">IF(N($AD175)=0,"",IFERROR(($AD175/(1+$L175)-($AD175*$O175+IF($AD175&lt;=15000,1000,IF($AD175&lt;=25000,2000,IF($AD175&lt;=33000,2400,0)))+N($N175))/(1+Datos!$B$2)-$AD175*Datos!$C$2-$C175)/($AD175/(1+$L175)),"Error"))</f>
        <v/>
      </c>
      <c r="AH175" s="61" t="str">
        <f aca="false">IF(N($AD175)=0,"",IFERROR($AD175/(1+$L175)*(1-$AF175)-($AD175*$O175+IF($AD175&lt;=15000,1000,IF($AD175&lt;=25000,2000,IF($AD175&lt;=33000,2400,0)))+N($N175))/(1+Datos!$B$2)-$AD175*Datos!$C$2,"Error"))</f>
        <v/>
      </c>
      <c r="AI175" s="61" t="str">
        <f aca="false">IF($AH175="","",IFERROR($AH175*(1+$D175),"Error"))</f>
        <v/>
      </c>
      <c r="AJ175" s="60" t="str">
        <f aca="false">IF($AH175="","",IFERROR($C175/$AH175-1,"Error"))</f>
        <v/>
      </c>
      <c r="AK175" s="63" t="str">
        <f aca="false">IF($AH175="","",IFERROR(IF($C175&lt;=$AH175,"OK a ese precio","Bajar costo"),"Error"))</f>
        <v/>
      </c>
    </row>
    <row r="176" customFormat="false" ht="15" hidden="false" customHeight="false" outlineLevel="0" collapsed="false">
      <c r="E176" s="0" t="str">
        <f aca="false">IF($C176="","",$C176*(1+$D176))</f>
        <v/>
      </c>
      <c r="J176" s="57"/>
      <c r="K176" s="57"/>
      <c r="L176" s="58"/>
      <c r="M176" s="59"/>
      <c r="N176" s="59"/>
      <c r="O176" s="60" t="str">
        <f aca="false">IF($M176="","",IFERROR(IF($K176="Clásica",VLOOKUP("Argentina"&amp;$J176,Datos!$C:$D,2,0),VLOOKUP("Argentina"&amp;$J176,Datos!$C:$D,2,0)+VLOOKUP("Argentina"&amp;$K176,Datos!$H:$I,2,0)),"Error"))</f>
        <v/>
      </c>
      <c r="P176" s="61" t="str">
        <f aca="false">IF($M176="","",IFERROR(-$M176*$O176,"Error"))</f>
        <v/>
      </c>
      <c r="Q176" s="61" t="str">
        <f aca="false">IF($M176="","",IFERROR(-($P176-$P176/(1+Datos!$B$2)),"Error"))</f>
        <v/>
      </c>
      <c r="R176" s="61" t="str">
        <f aca="false">IF($M176="","",IF($M176&lt;=15000,-1000,IF($M176&lt;=25000,-2000,IF($M176&lt;=33000,-2400,0))))</f>
        <v/>
      </c>
      <c r="S176" s="61" t="str">
        <f aca="false">IF($M176="","",-($R176-$R176/(1+Datos!$B$2)))</f>
        <v/>
      </c>
      <c r="T176" s="61" t="str">
        <f aca="false">IF($M176="","",-$M176/(1+$L176)*$L176)</f>
        <v/>
      </c>
      <c r="U176" s="61" t="str">
        <f aca="false">IF($M176="","",$C176*$D176)</f>
        <v/>
      </c>
      <c r="V176" s="61" t="str">
        <f aca="false">IF($M176="","",-N($N176))</f>
        <v/>
      </c>
      <c r="W176" s="61" t="str">
        <f aca="false">IF($M176="","",-($V176-$V176/(1+Datos!$B$2)))</f>
        <v/>
      </c>
      <c r="X176" s="61" t="str">
        <f aca="false">IF($M176="","",-$M176*Datos!$C$2)</f>
        <v/>
      </c>
      <c r="Y176" s="61" t="str">
        <f aca="false">IF($M176="","",IFERROR($M176+$U176+$T176+$P176+$Q176+$R176+$S176+$V176+$W176+$X176,"Error"))</f>
        <v/>
      </c>
      <c r="Z176" s="61" t="str">
        <f aca="false">IF($M176="","",IFERROR($Y176-$E176,"Error"))</f>
        <v/>
      </c>
      <c r="AA176" s="60" t="str">
        <f aca="false">IF($M176="","",IFERROR($Z176/($M176+$T176),"Error"))</f>
        <v/>
      </c>
      <c r="AB176" s="62" t="str">
        <f aca="false">IF($M176="","",IFERROR($M176/$E176,"Error"))</f>
        <v/>
      </c>
      <c r="AD176" s="59"/>
      <c r="AE176" s="57"/>
      <c r="AF176" s="58"/>
      <c r="AG176" s="60" t="str">
        <f aca="false">IF(N($AD176)=0,"",IFERROR(($AD176/(1+$L176)-($AD176*$O176+IF($AD176&lt;=15000,1000,IF($AD176&lt;=25000,2000,IF($AD176&lt;=33000,2400,0)))+N($N176))/(1+Datos!$B$2)-$AD176*Datos!$C$2-$C176)/($AD176/(1+$L176)),"Error"))</f>
        <v/>
      </c>
      <c r="AH176" s="61" t="str">
        <f aca="false">IF(N($AD176)=0,"",IFERROR($AD176/(1+$L176)*(1-$AF176)-($AD176*$O176+IF($AD176&lt;=15000,1000,IF($AD176&lt;=25000,2000,IF($AD176&lt;=33000,2400,0)))+N($N176))/(1+Datos!$B$2)-$AD176*Datos!$C$2,"Error"))</f>
        <v/>
      </c>
      <c r="AI176" s="61" t="str">
        <f aca="false">IF($AH176="","",IFERROR($AH176*(1+$D176),"Error"))</f>
        <v/>
      </c>
      <c r="AJ176" s="60" t="str">
        <f aca="false">IF($AH176="","",IFERROR($C176/$AH176-1,"Error"))</f>
        <v/>
      </c>
      <c r="AK176" s="63" t="str">
        <f aca="false">IF($AH176="","",IFERROR(IF($C176&lt;=$AH176,"OK a ese precio","Bajar costo"),"Error"))</f>
        <v/>
      </c>
    </row>
    <row r="177" customFormat="false" ht="15" hidden="false" customHeight="false" outlineLevel="0" collapsed="false">
      <c r="E177" s="0" t="str">
        <f aca="false">IF($C177="","",$C177*(1+$D177))</f>
        <v/>
      </c>
      <c r="J177" s="57"/>
      <c r="K177" s="57"/>
      <c r="L177" s="58"/>
      <c r="M177" s="59"/>
      <c r="N177" s="59"/>
      <c r="O177" s="60" t="str">
        <f aca="false">IF($M177="","",IFERROR(IF($K177="Clásica",VLOOKUP("Argentina"&amp;$J177,Datos!$C:$D,2,0),VLOOKUP("Argentina"&amp;$J177,Datos!$C:$D,2,0)+VLOOKUP("Argentina"&amp;$K177,Datos!$H:$I,2,0)),"Error"))</f>
        <v/>
      </c>
      <c r="P177" s="61" t="str">
        <f aca="false">IF($M177="","",IFERROR(-$M177*$O177,"Error"))</f>
        <v/>
      </c>
      <c r="Q177" s="61" t="str">
        <f aca="false">IF($M177="","",IFERROR(-($P177-$P177/(1+Datos!$B$2)),"Error"))</f>
        <v/>
      </c>
      <c r="R177" s="61" t="str">
        <f aca="false">IF($M177="","",IF($M177&lt;=15000,-1000,IF($M177&lt;=25000,-2000,IF($M177&lt;=33000,-2400,0))))</f>
        <v/>
      </c>
      <c r="S177" s="61" t="str">
        <f aca="false">IF($M177="","",-($R177-$R177/(1+Datos!$B$2)))</f>
        <v/>
      </c>
      <c r="T177" s="61" t="str">
        <f aca="false">IF($M177="","",-$M177/(1+$L177)*$L177)</f>
        <v/>
      </c>
      <c r="U177" s="61" t="str">
        <f aca="false">IF($M177="","",$C177*$D177)</f>
        <v/>
      </c>
      <c r="V177" s="61" t="str">
        <f aca="false">IF($M177="","",-N($N177))</f>
        <v/>
      </c>
      <c r="W177" s="61" t="str">
        <f aca="false">IF($M177="","",-($V177-$V177/(1+Datos!$B$2)))</f>
        <v/>
      </c>
      <c r="X177" s="61" t="str">
        <f aca="false">IF($M177="","",-$M177*Datos!$C$2)</f>
        <v/>
      </c>
      <c r="Y177" s="61" t="str">
        <f aca="false">IF($M177="","",IFERROR($M177+$U177+$T177+$P177+$Q177+$R177+$S177+$V177+$W177+$X177,"Error"))</f>
        <v/>
      </c>
      <c r="Z177" s="61" t="str">
        <f aca="false">IF($M177="","",IFERROR($Y177-$E177,"Error"))</f>
        <v/>
      </c>
      <c r="AA177" s="60" t="str">
        <f aca="false">IF($M177="","",IFERROR($Z177/($M177+$T177),"Error"))</f>
        <v/>
      </c>
      <c r="AB177" s="62" t="str">
        <f aca="false">IF($M177="","",IFERROR($M177/$E177,"Error"))</f>
        <v/>
      </c>
      <c r="AD177" s="59"/>
      <c r="AE177" s="57"/>
      <c r="AF177" s="58"/>
      <c r="AG177" s="60" t="str">
        <f aca="false">IF(N($AD177)=0,"",IFERROR(($AD177/(1+$L177)-($AD177*$O177+IF($AD177&lt;=15000,1000,IF($AD177&lt;=25000,2000,IF($AD177&lt;=33000,2400,0)))+N($N177))/(1+Datos!$B$2)-$AD177*Datos!$C$2-$C177)/($AD177/(1+$L177)),"Error"))</f>
        <v/>
      </c>
      <c r="AH177" s="61" t="str">
        <f aca="false">IF(N($AD177)=0,"",IFERROR($AD177/(1+$L177)*(1-$AF177)-($AD177*$O177+IF($AD177&lt;=15000,1000,IF($AD177&lt;=25000,2000,IF($AD177&lt;=33000,2400,0)))+N($N177))/(1+Datos!$B$2)-$AD177*Datos!$C$2,"Error"))</f>
        <v/>
      </c>
      <c r="AI177" s="61" t="str">
        <f aca="false">IF($AH177="","",IFERROR($AH177*(1+$D177),"Error"))</f>
        <v/>
      </c>
      <c r="AJ177" s="60" t="str">
        <f aca="false">IF($AH177="","",IFERROR($C177/$AH177-1,"Error"))</f>
        <v/>
      </c>
      <c r="AK177" s="63" t="str">
        <f aca="false">IF($AH177="","",IFERROR(IF($C177&lt;=$AH177,"OK a ese precio","Bajar costo"),"Error"))</f>
        <v/>
      </c>
    </row>
    <row r="178" customFormat="false" ht="15" hidden="false" customHeight="false" outlineLevel="0" collapsed="false">
      <c r="E178" s="0" t="str">
        <f aca="false">IF($C178="","",$C178*(1+$D178))</f>
        <v/>
      </c>
      <c r="J178" s="57"/>
      <c r="K178" s="57"/>
      <c r="L178" s="58"/>
      <c r="M178" s="59"/>
      <c r="N178" s="59"/>
      <c r="O178" s="60" t="str">
        <f aca="false">IF($M178="","",IFERROR(IF($K178="Clásica",VLOOKUP("Argentina"&amp;$J178,Datos!$C:$D,2,0),VLOOKUP("Argentina"&amp;$J178,Datos!$C:$D,2,0)+VLOOKUP("Argentina"&amp;$K178,Datos!$H:$I,2,0)),"Error"))</f>
        <v/>
      </c>
      <c r="P178" s="61" t="str">
        <f aca="false">IF($M178="","",IFERROR(-$M178*$O178,"Error"))</f>
        <v/>
      </c>
      <c r="Q178" s="61" t="str">
        <f aca="false">IF($M178="","",IFERROR(-($P178-$P178/(1+Datos!$B$2)),"Error"))</f>
        <v/>
      </c>
      <c r="R178" s="61" t="str">
        <f aca="false">IF($M178="","",IF($M178&lt;=15000,-1000,IF($M178&lt;=25000,-2000,IF($M178&lt;=33000,-2400,0))))</f>
        <v/>
      </c>
      <c r="S178" s="61" t="str">
        <f aca="false">IF($M178="","",-($R178-$R178/(1+Datos!$B$2)))</f>
        <v/>
      </c>
      <c r="T178" s="61" t="str">
        <f aca="false">IF($M178="","",-$M178/(1+$L178)*$L178)</f>
        <v/>
      </c>
      <c r="U178" s="61" t="str">
        <f aca="false">IF($M178="","",$C178*$D178)</f>
        <v/>
      </c>
      <c r="V178" s="61" t="str">
        <f aca="false">IF($M178="","",-N($N178))</f>
        <v/>
      </c>
      <c r="W178" s="61" t="str">
        <f aca="false">IF($M178="","",-($V178-$V178/(1+Datos!$B$2)))</f>
        <v/>
      </c>
      <c r="X178" s="61" t="str">
        <f aca="false">IF($M178="","",-$M178*Datos!$C$2)</f>
        <v/>
      </c>
      <c r="Y178" s="61" t="str">
        <f aca="false">IF($M178="","",IFERROR($M178+$U178+$T178+$P178+$Q178+$R178+$S178+$V178+$W178+$X178,"Error"))</f>
        <v/>
      </c>
      <c r="Z178" s="61" t="str">
        <f aca="false">IF($M178="","",IFERROR($Y178-$E178,"Error"))</f>
        <v/>
      </c>
      <c r="AA178" s="60" t="str">
        <f aca="false">IF($M178="","",IFERROR($Z178/($M178+$T178),"Error"))</f>
        <v/>
      </c>
      <c r="AB178" s="62" t="str">
        <f aca="false">IF($M178="","",IFERROR($M178/$E178,"Error"))</f>
        <v/>
      </c>
      <c r="AD178" s="59"/>
      <c r="AE178" s="57"/>
      <c r="AF178" s="58"/>
      <c r="AG178" s="60" t="str">
        <f aca="false">IF(N($AD178)=0,"",IFERROR(($AD178/(1+$L178)-($AD178*$O178+IF($AD178&lt;=15000,1000,IF($AD178&lt;=25000,2000,IF($AD178&lt;=33000,2400,0)))+N($N178))/(1+Datos!$B$2)-$AD178*Datos!$C$2-$C178)/($AD178/(1+$L178)),"Error"))</f>
        <v/>
      </c>
      <c r="AH178" s="61" t="str">
        <f aca="false">IF(N($AD178)=0,"",IFERROR($AD178/(1+$L178)*(1-$AF178)-($AD178*$O178+IF($AD178&lt;=15000,1000,IF($AD178&lt;=25000,2000,IF($AD178&lt;=33000,2400,0)))+N($N178))/(1+Datos!$B$2)-$AD178*Datos!$C$2,"Error"))</f>
        <v/>
      </c>
      <c r="AI178" s="61" t="str">
        <f aca="false">IF($AH178="","",IFERROR($AH178*(1+$D178),"Error"))</f>
        <v/>
      </c>
      <c r="AJ178" s="60" t="str">
        <f aca="false">IF($AH178="","",IFERROR($C178/$AH178-1,"Error"))</f>
        <v/>
      </c>
      <c r="AK178" s="63" t="str">
        <f aca="false">IF($AH178="","",IFERROR(IF($C178&lt;=$AH178,"OK a ese precio","Bajar costo"),"Error"))</f>
        <v/>
      </c>
    </row>
    <row r="179" customFormat="false" ht="15" hidden="false" customHeight="false" outlineLevel="0" collapsed="false">
      <c r="E179" s="0" t="str">
        <f aca="false">IF($C179="","",$C179*(1+$D179))</f>
        <v/>
      </c>
      <c r="J179" s="57"/>
      <c r="K179" s="57"/>
      <c r="L179" s="58"/>
      <c r="M179" s="59"/>
      <c r="N179" s="59"/>
      <c r="O179" s="60" t="str">
        <f aca="false">IF($M179="","",IFERROR(IF($K179="Clásica",VLOOKUP("Argentina"&amp;$J179,Datos!$C:$D,2,0),VLOOKUP("Argentina"&amp;$J179,Datos!$C:$D,2,0)+VLOOKUP("Argentina"&amp;$K179,Datos!$H:$I,2,0)),"Error"))</f>
        <v/>
      </c>
      <c r="P179" s="61" t="str">
        <f aca="false">IF($M179="","",IFERROR(-$M179*$O179,"Error"))</f>
        <v/>
      </c>
      <c r="Q179" s="61" t="str">
        <f aca="false">IF($M179="","",IFERROR(-($P179-$P179/(1+Datos!$B$2)),"Error"))</f>
        <v/>
      </c>
      <c r="R179" s="61" t="str">
        <f aca="false">IF($M179="","",IF($M179&lt;=15000,-1000,IF($M179&lt;=25000,-2000,IF($M179&lt;=33000,-2400,0))))</f>
        <v/>
      </c>
      <c r="S179" s="61" t="str">
        <f aca="false">IF($M179="","",-($R179-$R179/(1+Datos!$B$2)))</f>
        <v/>
      </c>
      <c r="T179" s="61" t="str">
        <f aca="false">IF($M179="","",-$M179/(1+$L179)*$L179)</f>
        <v/>
      </c>
      <c r="U179" s="61" t="str">
        <f aca="false">IF($M179="","",$C179*$D179)</f>
        <v/>
      </c>
      <c r="V179" s="61" t="str">
        <f aca="false">IF($M179="","",-N($N179))</f>
        <v/>
      </c>
      <c r="W179" s="61" t="str">
        <f aca="false">IF($M179="","",-($V179-$V179/(1+Datos!$B$2)))</f>
        <v/>
      </c>
      <c r="X179" s="61" t="str">
        <f aca="false">IF($M179="","",-$M179*Datos!$C$2)</f>
        <v/>
      </c>
      <c r="Y179" s="61" t="str">
        <f aca="false">IF($M179="","",IFERROR($M179+$U179+$T179+$P179+$Q179+$R179+$S179+$V179+$W179+$X179,"Error"))</f>
        <v/>
      </c>
      <c r="Z179" s="61" t="str">
        <f aca="false">IF($M179="","",IFERROR($Y179-$E179,"Error"))</f>
        <v/>
      </c>
      <c r="AA179" s="60" t="str">
        <f aca="false">IF($M179="","",IFERROR($Z179/($M179+$T179),"Error"))</f>
        <v/>
      </c>
      <c r="AB179" s="62" t="str">
        <f aca="false">IF($M179="","",IFERROR($M179/$E179,"Error"))</f>
        <v/>
      </c>
      <c r="AD179" s="59"/>
      <c r="AE179" s="57"/>
      <c r="AF179" s="58"/>
      <c r="AG179" s="60" t="str">
        <f aca="false">IF(N($AD179)=0,"",IFERROR(($AD179/(1+$L179)-($AD179*$O179+IF($AD179&lt;=15000,1000,IF($AD179&lt;=25000,2000,IF($AD179&lt;=33000,2400,0)))+N($N179))/(1+Datos!$B$2)-$AD179*Datos!$C$2-$C179)/($AD179/(1+$L179)),"Error"))</f>
        <v/>
      </c>
      <c r="AH179" s="61" t="str">
        <f aca="false">IF(N($AD179)=0,"",IFERROR($AD179/(1+$L179)*(1-$AF179)-($AD179*$O179+IF($AD179&lt;=15000,1000,IF($AD179&lt;=25000,2000,IF($AD179&lt;=33000,2400,0)))+N($N179))/(1+Datos!$B$2)-$AD179*Datos!$C$2,"Error"))</f>
        <v/>
      </c>
      <c r="AI179" s="61" t="str">
        <f aca="false">IF($AH179="","",IFERROR($AH179*(1+$D179),"Error"))</f>
        <v/>
      </c>
      <c r="AJ179" s="60" t="str">
        <f aca="false">IF($AH179="","",IFERROR($C179/$AH179-1,"Error"))</f>
        <v/>
      </c>
      <c r="AK179" s="63" t="str">
        <f aca="false">IF($AH179="","",IFERROR(IF($C179&lt;=$AH179,"OK a ese precio","Bajar costo"),"Error"))</f>
        <v/>
      </c>
    </row>
    <row r="180" customFormat="false" ht="15" hidden="false" customHeight="false" outlineLevel="0" collapsed="false">
      <c r="E180" s="0" t="str">
        <f aca="false">IF($C180="","",$C180*(1+$D180))</f>
        <v/>
      </c>
      <c r="J180" s="57"/>
      <c r="K180" s="57"/>
      <c r="L180" s="58"/>
      <c r="M180" s="59"/>
      <c r="N180" s="59"/>
      <c r="O180" s="60" t="str">
        <f aca="false">IF($M180="","",IFERROR(IF($K180="Clásica",VLOOKUP("Argentina"&amp;$J180,Datos!$C:$D,2,0),VLOOKUP("Argentina"&amp;$J180,Datos!$C:$D,2,0)+VLOOKUP("Argentina"&amp;$K180,Datos!$H:$I,2,0)),"Error"))</f>
        <v/>
      </c>
      <c r="P180" s="61" t="str">
        <f aca="false">IF($M180="","",IFERROR(-$M180*$O180,"Error"))</f>
        <v/>
      </c>
      <c r="Q180" s="61" t="str">
        <f aca="false">IF($M180="","",IFERROR(-($P180-$P180/(1+Datos!$B$2)),"Error"))</f>
        <v/>
      </c>
      <c r="R180" s="61" t="str">
        <f aca="false">IF($M180="","",IF($M180&lt;=15000,-1000,IF($M180&lt;=25000,-2000,IF($M180&lt;=33000,-2400,0))))</f>
        <v/>
      </c>
      <c r="S180" s="61" t="str">
        <f aca="false">IF($M180="","",-($R180-$R180/(1+Datos!$B$2)))</f>
        <v/>
      </c>
      <c r="T180" s="61" t="str">
        <f aca="false">IF($M180="","",-$M180/(1+$L180)*$L180)</f>
        <v/>
      </c>
      <c r="U180" s="61" t="str">
        <f aca="false">IF($M180="","",$C180*$D180)</f>
        <v/>
      </c>
      <c r="V180" s="61" t="str">
        <f aca="false">IF($M180="","",-N($N180))</f>
        <v/>
      </c>
      <c r="W180" s="61" t="str">
        <f aca="false">IF($M180="","",-($V180-$V180/(1+Datos!$B$2)))</f>
        <v/>
      </c>
      <c r="X180" s="61" t="str">
        <f aca="false">IF($M180="","",-$M180*Datos!$C$2)</f>
        <v/>
      </c>
      <c r="Y180" s="61" t="str">
        <f aca="false">IF($M180="","",IFERROR($M180+$U180+$T180+$P180+$Q180+$R180+$S180+$V180+$W180+$X180,"Error"))</f>
        <v/>
      </c>
      <c r="Z180" s="61" t="str">
        <f aca="false">IF($M180="","",IFERROR($Y180-$E180,"Error"))</f>
        <v/>
      </c>
      <c r="AA180" s="60" t="str">
        <f aca="false">IF($M180="","",IFERROR($Z180/($M180+$T180),"Error"))</f>
        <v/>
      </c>
      <c r="AB180" s="62" t="str">
        <f aca="false">IF($M180="","",IFERROR($M180/$E180,"Error"))</f>
        <v/>
      </c>
      <c r="AD180" s="59"/>
      <c r="AE180" s="57"/>
      <c r="AF180" s="58"/>
      <c r="AG180" s="60" t="str">
        <f aca="false">IF(N($AD180)=0,"",IFERROR(($AD180/(1+$L180)-($AD180*$O180+IF($AD180&lt;=15000,1000,IF($AD180&lt;=25000,2000,IF($AD180&lt;=33000,2400,0)))+N($N180))/(1+Datos!$B$2)-$AD180*Datos!$C$2-$C180)/($AD180/(1+$L180)),"Error"))</f>
        <v/>
      </c>
      <c r="AH180" s="61" t="str">
        <f aca="false">IF(N($AD180)=0,"",IFERROR($AD180/(1+$L180)*(1-$AF180)-($AD180*$O180+IF($AD180&lt;=15000,1000,IF($AD180&lt;=25000,2000,IF($AD180&lt;=33000,2400,0)))+N($N180))/(1+Datos!$B$2)-$AD180*Datos!$C$2,"Error"))</f>
        <v/>
      </c>
      <c r="AI180" s="61" t="str">
        <f aca="false">IF($AH180="","",IFERROR($AH180*(1+$D180),"Error"))</f>
        <v/>
      </c>
      <c r="AJ180" s="60" t="str">
        <f aca="false">IF($AH180="","",IFERROR($C180/$AH180-1,"Error"))</f>
        <v/>
      </c>
      <c r="AK180" s="63" t="str">
        <f aca="false">IF($AH180="","",IFERROR(IF($C180&lt;=$AH180,"OK a ese precio","Bajar costo"),"Error"))</f>
        <v/>
      </c>
    </row>
    <row r="181" customFormat="false" ht="15" hidden="false" customHeight="false" outlineLevel="0" collapsed="false">
      <c r="E181" s="0" t="str">
        <f aca="false">IF($C181="","",$C181*(1+$D181))</f>
        <v/>
      </c>
      <c r="J181" s="57"/>
      <c r="K181" s="57"/>
      <c r="L181" s="58"/>
      <c r="M181" s="59"/>
      <c r="N181" s="59"/>
      <c r="O181" s="60" t="str">
        <f aca="false">IF($M181="","",IFERROR(IF($K181="Clásica",VLOOKUP("Argentina"&amp;$J181,Datos!$C:$D,2,0),VLOOKUP("Argentina"&amp;$J181,Datos!$C:$D,2,0)+VLOOKUP("Argentina"&amp;$K181,Datos!$H:$I,2,0)),"Error"))</f>
        <v/>
      </c>
      <c r="P181" s="61" t="str">
        <f aca="false">IF($M181="","",IFERROR(-$M181*$O181,"Error"))</f>
        <v/>
      </c>
      <c r="Q181" s="61" t="str">
        <f aca="false">IF($M181="","",IFERROR(-($P181-$P181/(1+Datos!$B$2)),"Error"))</f>
        <v/>
      </c>
      <c r="R181" s="61" t="str">
        <f aca="false">IF($M181="","",IF($M181&lt;=15000,-1000,IF($M181&lt;=25000,-2000,IF($M181&lt;=33000,-2400,0))))</f>
        <v/>
      </c>
      <c r="S181" s="61" t="str">
        <f aca="false">IF($M181="","",-($R181-$R181/(1+Datos!$B$2)))</f>
        <v/>
      </c>
      <c r="T181" s="61" t="str">
        <f aca="false">IF($M181="","",-$M181/(1+$L181)*$L181)</f>
        <v/>
      </c>
      <c r="U181" s="61" t="str">
        <f aca="false">IF($M181="","",$C181*$D181)</f>
        <v/>
      </c>
      <c r="V181" s="61" t="str">
        <f aca="false">IF($M181="","",-N($N181))</f>
        <v/>
      </c>
      <c r="W181" s="61" t="str">
        <f aca="false">IF($M181="","",-($V181-$V181/(1+Datos!$B$2)))</f>
        <v/>
      </c>
      <c r="X181" s="61" t="str">
        <f aca="false">IF($M181="","",-$M181*Datos!$C$2)</f>
        <v/>
      </c>
      <c r="Y181" s="61" t="str">
        <f aca="false">IF($M181="","",IFERROR($M181+$U181+$T181+$P181+$Q181+$R181+$S181+$V181+$W181+$X181,"Error"))</f>
        <v/>
      </c>
      <c r="Z181" s="61" t="str">
        <f aca="false">IF($M181="","",IFERROR($Y181-$E181,"Error"))</f>
        <v/>
      </c>
      <c r="AA181" s="60" t="str">
        <f aca="false">IF($M181="","",IFERROR($Z181/($M181+$T181),"Error"))</f>
        <v/>
      </c>
      <c r="AB181" s="62" t="str">
        <f aca="false">IF($M181="","",IFERROR($M181/$E181,"Error"))</f>
        <v/>
      </c>
      <c r="AD181" s="59"/>
      <c r="AE181" s="57"/>
      <c r="AF181" s="58"/>
      <c r="AG181" s="60" t="str">
        <f aca="false">IF(N($AD181)=0,"",IFERROR(($AD181/(1+$L181)-($AD181*$O181+IF($AD181&lt;=15000,1000,IF($AD181&lt;=25000,2000,IF($AD181&lt;=33000,2400,0)))+N($N181))/(1+Datos!$B$2)-$AD181*Datos!$C$2-$C181)/($AD181/(1+$L181)),"Error"))</f>
        <v/>
      </c>
      <c r="AH181" s="61" t="str">
        <f aca="false">IF(N($AD181)=0,"",IFERROR($AD181/(1+$L181)*(1-$AF181)-($AD181*$O181+IF($AD181&lt;=15000,1000,IF($AD181&lt;=25000,2000,IF($AD181&lt;=33000,2400,0)))+N($N181))/(1+Datos!$B$2)-$AD181*Datos!$C$2,"Error"))</f>
        <v/>
      </c>
      <c r="AI181" s="61" t="str">
        <f aca="false">IF($AH181="","",IFERROR($AH181*(1+$D181),"Error"))</f>
        <v/>
      </c>
      <c r="AJ181" s="60" t="str">
        <f aca="false">IF($AH181="","",IFERROR($C181/$AH181-1,"Error"))</f>
        <v/>
      </c>
      <c r="AK181" s="63" t="str">
        <f aca="false">IF($AH181="","",IFERROR(IF($C181&lt;=$AH181,"OK a ese precio","Bajar costo"),"Error"))</f>
        <v/>
      </c>
    </row>
    <row r="182" customFormat="false" ht="15" hidden="false" customHeight="false" outlineLevel="0" collapsed="false">
      <c r="E182" s="0" t="str">
        <f aca="false">IF($C182="","",$C182*(1+$D182))</f>
        <v/>
      </c>
      <c r="J182" s="57"/>
      <c r="K182" s="57"/>
      <c r="L182" s="58"/>
      <c r="M182" s="59"/>
      <c r="N182" s="59"/>
      <c r="O182" s="60" t="str">
        <f aca="false">IF($M182="","",IFERROR(IF($K182="Clásica",VLOOKUP("Argentina"&amp;$J182,Datos!$C:$D,2,0),VLOOKUP("Argentina"&amp;$J182,Datos!$C:$D,2,0)+VLOOKUP("Argentina"&amp;$K182,Datos!$H:$I,2,0)),"Error"))</f>
        <v/>
      </c>
      <c r="P182" s="61" t="str">
        <f aca="false">IF($M182="","",IFERROR(-$M182*$O182,"Error"))</f>
        <v/>
      </c>
      <c r="Q182" s="61" t="str">
        <f aca="false">IF($M182="","",IFERROR(-($P182-$P182/(1+Datos!$B$2)),"Error"))</f>
        <v/>
      </c>
      <c r="R182" s="61" t="str">
        <f aca="false">IF($M182="","",IF($M182&lt;=15000,-1000,IF($M182&lt;=25000,-2000,IF($M182&lt;=33000,-2400,0))))</f>
        <v/>
      </c>
      <c r="S182" s="61" t="str">
        <f aca="false">IF($M182="","",-($R182-$R182/(1+Datos!$B$2)))</f>
        <v/>
      </c>
      <c r="T182" s="61" t="str">
        <f aca="false">IF($M182="","",-$M182/(1+$L182)*$L182)</f>
        <v/>
      </c>
      <c r="U182" s="61" t="str">
        <f aca="false">IF($M182="","",$C182*$D182)</f>
        <v/>
      </c>
      <c r="V182" s="61" t="str">
        <f aca="false">IF($M182="","",-N($N182))</f>
        <v/>
      </c>
      <c r="W182" s="61" t="str">
        <f aca="false">IF($M182="","",-($V182-$V182/(1+Datos!$B$2)))</f>
        <v/>
      </c>
      <c r="X182" s="61" t="str">
        <f aca="false">IF($M182="","",-$M182*Datos!$C$2)</f>
        <v/>
      </c>
      <c r="Y182" s="61" t="str">
        <f aca="false">IF($M182="","",IFERROR($M182+$U182+$T182+$P182+$Q182+$R182+$S182+$V182+$W182+$X182,"Error"))</f>
        <v/>
      </c>
      <c r="Z182" s="61" t="str">
        <f aca="false">IF($M182="","",IFERROR($Y182-$E182,"Error"))</f>
        <v/>
      </c>
      <c r="AA182" s="60" t="str">
        <f aca="false">IF($M182="","",IFERROR($Z182/($M182+$T182),"Error"))</f>
        <v/>
      </c>
      <c r="AB182" s="62" t="str">
        <f aca="false">IF($M182="","",IFERROR($M182/$E182,"Error"))</f>
        <v/>
      </c>
      <c r="AD182" s="59"/>
      <c r="AE182" s="57"/>
      <c r="AF182" s="58"/>
      <c r="AG182" s="60" t="str">
        <f aca="false">IF(N($AD182)=0,"",IFERROR(($AD182/(1+$L182)-($AD182*$O182+IF($AD182&lt;=15000,1000,IF($AD182&lt;=25000,2000,IF($AD182&lt;=33000,2400,0)))+N($N182))/(1+Datos!$B$2)-$AD182*Datos!$C$2-$C182)/($AD182/(1+$L182)),"Error"))</f>
        <v/>
      </c>
      <c r="AH182" s="61" t="str">
        <f aca="false">IF(N($AD182)=0,"",IFERROR($AD182/(1+$L182)*(1-$AF182)-($AD182*$O182+IF($AD182&lt;=15000,1000,IF($AD182&lt;=25000,2000,IF($AD182&lt;=33000,2400,0)))+N($N182))/(1+Datos!$B$2)-$AD182*Datos!$C$2,"Error"))</f>
        <v/>
      </c>
      <c r="AI182" s="61" t="str">
        <f aca="false">IF($AH182="","",IFERROR($AH182*(1+$D182),"Error"))</f>
        <v/>
      </c>
      <c r="AJ182" s="60" t="str">
        <f aca="false">IF($AH182="","",IFERROR($C182/$AH182-1,"Error"))</f>
        <v/>
      </c>
      <c r="AK182" s="63" t="str">
        <f aca="false">IF($AH182="","",IFERROR(IF($C182&lt;=$AH182,"OK a ese precio","Bajar costo"),"Error"))</f>
        <v/>
      </c>
    </row>
    <row r="183" customFormat="false" ht="15" hidden="false" customHeight="false" outlineLevel="0" collapsed="false">
      <c r="E183" s="0" t="str">
        <f aca="false">IF($C183="","",$C183*(1+$D183))</f>
        <v/>
      </c>
      <c r="J183" s="57"/>
      <c r="K183" s="57"/>
      <c r="L183" s="58"/>
      <c r="M183" s="59"/>
      <c r="N183" s="59"/>
      <c r="O183" s="60" t="str">
        <f aca="false">IF($M183="","",IFERROR(IF($K183="Clásica",VLOOKUP("Argentina"&amp;$J183,Datos!$C:$D,2,0),VLOOKUP("Argentina"&amp;$J183,Datos!$C:$D,2,0)+VLOOKUP("Argentina"&amp;$K183,Datos!$H:$I,2,0)),"Error"))</f>
        <v/>
      </c>
      <c r="P183" s="61" t="str">
        <f aca="false">IF($M183="","",IFERROR(-$M183*$O183,"Error"))</f>
        <v/>
      </c>
      <c r="Q183" s="61" t="str">
        <f aca="false">IF($M183="","",IFERROR(-($P183-$P183/(1+Datos!$B$2)),"Error"))</f>
        <v/>
      </c>
      <c r="R183" s="61" t="str">
        <f aca="false">IF($M183="","",IF($M183&lt;=15000,-1000,IF($M183&lt;=25000,-2000,IF($M183&lt;=33000,-2400,0))))</f>
        <v/>
      </c>
      <c r="S183" s="61" t="str">
        <f aca="false">IF($M183="","",-($R183-$R183/(1+Datos!$B$2)))</f>
        <v/>
      </c>
      <c r="T183" s="61" t="str">
        <f aca="false">IF($M183="","",-$M183/(1+$L183)*$L183)</f>
        <v/>
      </c>
      <c r="U183" s="61" t="str">
        <f aca="false">IF($M183="","",$C183*$D183)</f>
        <v/>
      </c>
      <c r="V183" s="61" t="str">
        <f aca="false">IF($M183="","",-N($N183))</f>
        <v/>
      </c>
      <c r="W183" s="61" t="str">
        <f aca="false">IF($M183="","",-($V183-$V183/(1+Datos!$B$2)))</f>
        <v/>
      </c>
      <c r="X183" s="61" t="str">
        <f aca="false">IF($M183="","",-$M183*Datos!$C$2)</f>
        <v/>
      </c>
      <c r="Y183" s="61" t="str">
        <f aca="false">IF($M183="","",IFERROR($M183+$U183+$T183+$P183+$Q183+$R183+$S183+$V183+$W183+$X183,"Error"))</f>
        <v/>
      </c>
      <c r="Z183" s="61" t="str">
        <f aca="false">IF($M183="","",IFERROR($Y183-$E183,"Error"))</f>
        <v/>
      </c>
      <c r="AA183" s="60" t="str">
        <f aca="false">IF($M183="","",IFERROR($Z183/($M183+$T183),"Error"))</f>
        <v/>
      </c>
      <c r="AB183" s="62" t="str">
        <f aca="false">IF($M183="","",IFERROR($M183/$E183,"Error"))</f>
        <v/>
      </c>
      <c r="AD183" s="59"/>
      <c r="AE183" s="57"/>
      <c r="AF183" s="58"/>
      <c r="AG183" s="60" t="str">
        <f aca="false">IF(N($AD183)=0,"",IFERROR(($AD183/(1+$L183)-($AD183*$O183+IF($AD183&lt;=15000,1000,IF($AD183&lt;=25000,2000,IF($AD183&lt;=33000,2400,0)))+N($N183))/(1+Datos!$B$2)-$AD183*Datos!$C$2-$C183)/($AD183/(1+$L183)),"Error"))</f>
        <v/>
      </c>
      <c r="AH183" s="61" t="str">
        <f aca="false">IF(N($AD183)=0,"",IFERROR($AD183/(1+$L183)*(1-$AF183)-($AD183*$O183+IF($AD183&lt;=15000,1000,IF($AD183&lt;=25000,2000,IF($AD183&lt;=33000,2400,0)))+N($N183))/(1+Datos!$B$2)-$AD183*Datos!$C$2,"Error"))</f>
        <v/>
      </c>
      <c r="AI183" s="61" t="str">
        <f aca="false">IF($AH183="","",IFERROR($AH183*(1+$D183),"Error"))</f>
        <v/>
      </c>
      <c r="AJ183" s="60" t="str">
        <f aca="false">IF($AH183="","",IFERROR($C183/$AH183-1,"Error"))</f>
        <v/>
      </c>
      <c r="AK183" s="63" t="str">
        <f aca="false">IF($AH183="","",IFERROR(IF($C183&lt;=$AH183,"OK a ese precio","Bajar costo"),"Error"))</f>
        <v/>
      </c>
    </row>
    <row r="184" customFormat="false" ht="15" hidden="false" customHeight="false" outlineLevel="0" collapsed="false">
      <c r="E184" s="0" t="str">
        <f aca="false">IF($C184="","",$C184*(1+$D184))</f>
        <v/>
      </c>
      <c r="J184" s="57"/>
      <c r="K184" s="57"/>
      <c r="L184" s="58"/>
      <c r="M184" s="59"/>
      <c r="N184" s="59"/>
      <c r="O184" s="60" t="str">
        <f aca="false">IF($M184="","",IFERROR(IF($K184="Clásica",VLOOKUP("Argentina"&amp;$J184,Datos!$C:$D,2,0),VLOOKUP("Argentina"&amp;$J184,Datos!$C:$D,2,0)+VLOOKUP("Argentina"&amp;$K184,Datos!$H:$I,2,0)),"Error"))</f>
        <v/>
      </c>
      <c r="P184" s="61" t="str">
        <f aca="false">IF($M184="","",IFERROR(-$M184*$O184,"Error"))</f>
        <v/>
      </c>
      <c r="Q184" s="61" t="str">
        <f aca="false">IF($M184="","",IFERROR(-($P184-$P184/(1+Datos!$B$2)),"Error"))</f>
        <v/>
      </c>
      <c r="R184" s="61" t="str">
        <f aca="false">IF($M184="","",IF($M184&lt;=15000,-1000,IF($M184&lt;=25000,-2000,IF($M184&lt;=33000,-2400,0))))</f>
        <v/>
      </c>
      <c r="S184" s="61" t="str">
        <f aca="false">IF($M184="","",-($R184-$R184/(1+Datos!$B$2)))</f>
        <v/>
      </c>
      <c r="T184" s="61" t="str">
        <f aca="false">IF($M184="","",-$M184/(1+$L184)*$L184)</f>
        <v/>
      </c>
      <c r="U184" s="61" t="str">
        <f aca="false">IF($M184="","",$C184*$D184)</f>
        <v/>
      </c>
      <c r="V184" s="61" t="str">
        <f aca="false">IF($M184="","",-N($N184))</f>
        <v/>
      </c>
      <c r="W184" s="61" t="str">
        <f aca="false">IF($M184="","",-($V184-$V184/(1+Datos!$B$2)))</f>
        <v/>
      </c>
      <c r="X184" s="61" t="str">
        <f aca="false">IF($M184="","",-$M184*Datos!$C$2)</f>
        <v/>
      </c>
      <c r="Y184" s="61" t="str">
        <f aca="false">IF($M184="","",IFERROR($M184+$U184+$T184+$P184+$Q184+$R184+$S184+$V184+$W184+$X184,"Error"))</f>
        <v/>
      </c>
      <c r="Z184" s="61" t="str">
        <f aca="false">IF($M184="","",IFERROR($Y184-$E184,"Error"))</f>
        <v/>
      </c>
      <c r="AA184" s="60" t="str">
        <f aca="false">IF($M184="","",IFERROR($Z184/($M184+$T184),"Error"))</f>
        <v/>
      </c>
      <c r="AB184" s="62" t="str">
        <f aca="false">IF($M184="","",IFERROR($M184/$E184,"Error"))</f>
        <v/>
      </c>
      <c r="AD184" s="59"/>
      <c r="AE184" s="57"/>
      <c r="AF184" s="58"/>
      <c r="AG184" s="60" t="str">
        <f aca="false">IF(N($AD184)=0,"",IFERROR(($AD184/(1+$L184)-($AD184*$O184+IF($AD184&lt;=15000,1000,IF($AD184&lt;=25000,2000,IF($AD184&lt;=33000,2400,0)))+N($N184))/(1+Datos!$B$2)-$AD184*Datos!$C$2-$C184)/($AD184/(1+$L184)),"Error"))</f>
        <v/>
      </c>
      <c r="AH184" s="61" t="str">
        <f aca="false">IF(N($AD184)=0,"",IFERROR($AD184/(1+$L184)*(1-$AF184)-($AD184*$O184+IF($AD184&lt;=15000,1000,IF($AD184&lt;=25000,2000,IF($AD184&lt;=33000,2400,0)))+N($N184))/(1+Datos!$B$2)-$AD184*Datos!$C$2,"Error"))</f>
        <v/>
      </c>
      <c r="AI184" s="61" t="str">
        <f aca="false">IF($AH184="","",IFERROR($AH184*(1+$D184),"Error"))</f>
        <v/>
      </c>
      <c r="AJ184" s="60" t="str">
        <f aca="false">IF($AH184="","",IFERROR($C184/$AH184-1,"Error"))</f>
        <v/>
      </c>
      <c r="AK184" s="63" t="str">
        <f aca="false">IF($AH184="","",IFERROR(IF($C184&lt;=$AH184,"OK a ese precio","Bajar costo"),"Error"))</f>
        <v/>
      </c>
    </row>
    <row r="185" customFormat="false" ht="15" hidden="false" customHeight="false" outlineLevel="0" collapsed="false">
      <c r="E185" s="0" t="str">
        <f aca="false">IF($C185="","",$C185*(1+$D185))</f>
        <v/>
      </c>
      <c r="J185" s="57"/>
      <c r="K185" s="57"/>
      <c r="L185" s="58"/>
      <c r="M185" s="59"/>
      <c r="N185" s="59"/>
      <c r="O185" s="60" t="str">
        <f aca="false">IF($M185="","",IFERROR(IF($K185="Clásica",VLOOKUP("Argentina"&amp;$J185,Datos!$C:$D,2,0),VLOOKUP("Argentina"&amp;$J185,Datos!$C:$D,2,0)+VLOOKUP("Argentina"&amp;$K185,Datos!$H:$I,2,0)),"Error"))</f>
        <v/>
      </c>
      <c r="P185" s="61" t="str">
        <f aca="false">IF($M185="","",IFERROR(-$M185*$O185,"Error"))</f>
        <v/>
      </c>
      <c r="Q185" s="61" t="str">
        <f aca="false">IF($M185="","",IFERROR(-($P185-$P185/(1+Datos!$B$2)),"Error"))</f>
        <v/>
      </c>
      <c r="R185" s="61" t="str">
        <f aca="false">IF($M185="","",IF($M185&lt;=15000,-1000,IF($M185&lt;=25000,-2000,IF($M185&lt;=33000,-2400,0))))</f>
        <v/>
      </c>
      <c r="S185" s="61" t="str">
        <f aca="false">IF($M185="","",-($R185-$R185/(1+Datos!$B$2)))</f>
        <v/>
      </c>
      <c r="T185" s="61" t="str">
        <f aca="false">IF($M185="","",-$M185/(1+$L185)*$L185)</f>
        <v/>
      </c>
      <c r="U185" s="61" t="str">
        <f aca="false">IF($M185="","",$C185*$D185)</f>
        <v/>
      </c>
      <c r="V185" s="61" t="str">
        <f aca="false">IF($M185="","",-N($N185))</f>
        <v/>
      </c>
      <c r="W185" s="61" t="str">
        <f aca="false">IF($M185="","",-($V185-$V185/(1+Datos!$B$2)))</f>
        <v/>
      </c>
      <c r="X185" s="61" t="str">
        <f aca="false">IF($M185="","",-$M185*Datos!$C$2)</f>
        <v/>
      </c>
      <c r="Y185" s="61" t="str">
        <f aca="false">IF($M185="","",IFERROR($M185+$U185+$T185+$P185+$Q185+$R185+$S185+$V185+$W185+$X185,"Error"))</f>
        <v/>
      </c>
      <c r="Z185" s="61" t="str">
        <f aca="false">IF($M185="","",IFERROR($Y185-$E185,"Error"))</f>
        <v/>
      </c>
      <c r="AA185" s="60" t="str">
        <f aca="false">IF($M185="","",IFERROR($Z185/($M185+$T185),"Error"))</f>
        <v/>
      </c>
      <c r="AB185" s="62" t="str">
        <f aca="false">IF($M185="","",IFERROR($M185/$E185,"Error"))</f>
        <v/>
      </c>
      <c r="AD185" s="59"/>
      <c r="AE185" s="57"/>
      <c r="AF185" s="58"/>
      <c r="AG185" s="60" t="str">
        <f aca="false">IF(N($AD185)=0,"",IFERROR(($AD185/(1+$L185)-($AD185*$O185+IF($AD185&lt;=15000,1000,IF($AD185&lt;=25000,2000,IF($AD185&lt;=33000,2400,0)))+N($N185))/(1+Datos!$B$2)-$AD185*Datos!$C$2-$C185)/($AD185/(1+$L185)),"Error"))</f>
        <v/>
      </c>
      <c r="AH185" s="61" t="str">
        <f aca="false">IF(N($AD185)=0,"",IFERROR($AD185/(1+$L185)*(1-$AF185)-($AD185*$O185+IF($AD185&lt;=15000,1000,IF($AD185&lt;=25000,2000,IF($AD185&lt;=33000,2400,0)))+N($N185))/(1+Datos!$B$2)-$AD185*Datos!$C$2,"Error"))</f>
        <v/>
      </c>
      <c r="AI185" s="61" t="str">
        <f aca="false">IF($AH185="","",IFERROR($AH185*(1+$D185),"Error"))</f>
        <v/>
      </c>
      <c r="AJ185" s="60" t="str">
        <f aca="false">IF($AH185="","",IFERROR($C185/$AH185-1,"Error"))</f>
        <v/>
      </c>
      <c r="AK185" s="63" t="str">
        <f aca="false">IF($AH185="","",IFERROR(IF($C185&lt;=$AH185,"OK a ese precio","Bajar costo"),"Error"))</f>
        <v/>
      </c>
    </row>
    <row r="186" customFormat="false" ht="15" hidden="false" customHeight="false" outlineLevel="0" collapsed="false">
      <c r="E186" s="0" t="str">
        <f aca="false">IF($C186="","",$C186*(1+$D186))</f>
        <v/>
      </c>
      <c r="J186" s="57"/>
      <c r="K186" s="57"/>
      <c r="L186" s="58"/>
      <c r="M186" s="59"/>
      <c r="N186" s="59"/>
      <c r="O186" s="60" t="str">
        <f aca="false">IF($M186="","",IFERROR(IF($K186="Clásica",VLOOKUP("Argentina"&amp;$J186,Datos!$C:$D,2,0),VLOOKUP("Argentina"&amp;$J186,Datos!$C:$D,2,0)+VLOOKUP("Argentina"&amp;$K186,Datos!$H:$I,2,0)),"Error"))</f>
        <v/>
      </c>
      <c r="P186" s="61" t="str">
        <f aca="false">IF($M186="","",IFERROR(-$M186*$O186,"Error"))</f>
        <v/>
      </c>
      <c r="Q186" s="61" t="str">
        <f aca="false">IF($M186="","",IFERROR(-($P186-$P186/(1+Datos!$B$2)),"Error"))</f>
        <v/>
      </c>
      <c r="R186" s="61" t="str">
        <f aca="false">IF($M186="","",IF($M186&lt;=15000,-1000,IF($M186&lt;=25000,-2000,IF($M186&lt;=33000,-2400,0))))</f>
        <v/>
      </c>
      <c r="S186" s="61" t="str">
        <f aca="false">IF($M186="","",-($R186-$R186/(1+Datos!$B$2)))</f>
        <v/>
      </c>
      <c r="T186" s="61" t="str">
        <f aca="false">IF($M186="","",-$M186/(1+$L186)*$L186)</f>
        <v/>
      </c>
      <c r="U186" s="61" t="str">
        <f aca="false">IF($M186="","",$C186*$D186)</f>
        <v/>
      </c>
      <c r="V186" s="61" t="str">
        <f aca="false">IF($M186="","",-N($N186))</f>
        <v/>
      </c>
      <c r="W186" s="61" t="str">
        <f aca="false">IF($M186="","",-($V186-$V186/(1+Datos!$B$2)))</f>
        <v/>
      </c>
      <c r="X186" s="61" t="str">
        <f aca="false">IF($M186="","",-$M186*Datos!$C$2)</f>
        <v/>
      </c>
      <c r="Y186" s="61" t="str">
        <f aca="false">IF($M186="","",IFERROR($M186+$U186+$T186+$P186+$Q186+$R186+$S186+$V186+$W186+$X186,"Error"))</f>
        <v/>
      </c>
      <c r="Z186" s="61" t="str">
        <f aca="false">IF($M186="","",IFERROR($Y186-$E186,"Error"))</f>
        <v/>
      </c>
      <c r="AA186" s="60" t="str">
        <f aca="false">IF($M186="","",IFERROR($Z186/($M186+$T186),"Error"))</f>
        <v/>
      </c>
      <c r="AB186" s="62" t="str">
        <f aca="false">IF($M186="","",IFERROR($M186/$E186,"Error"))</f>
        <v/>
      </c>
      <c r="AD186" s="59"/>
      <c r="AE186" s="57"/>
      <c r="AF186" s="58"/>
      <c r="AG186" s="60" t="str">
        <f aca="false">IF(N($AD186)=0,"",IFERROR(($AD186/(1+$L186)-($AD186*$O186+IF($AD186&lt;=15000,1000,IF($AD186&lt;=25000,2000,IF($AD186&lt;=33000,2400,0)))+N($N186))/(1+Datos!$B$2)-$AD186*Datos!$C$2-$C186)/($AD186/(1+$L186)),"Error"))</f>
        <v/>
      </c>
      <c r="AH186" s="61" t="str">
        <f aca="false">IF(N($AD186)=0,"",IFERROR($AD186/(1+$L186)*(1-$AF186)-($AD186*$O186+IF($AD186&lt;=15000,1000,IF($AD186&lt;=25000,2000,IF($AD186&lt;=33000,2400,0)))+N($N186))/(1+Datos!$B$2)-$AD186*Datos!$C$2,"Error"))</f>
        <v/>
      </c>
      <c r="AI186" s="61" t="str">
        <f aca="false">IF($AH186="","",IFERROR($AH186*(1+$D186),"Error"))</f>
        <v/>
      </c>
      <c r="AJ186" s="60" t="str">
        <f aca="false">IF($AH186="","",IFERROR($C186/$AH186-1,"Error"))</f>
        <v/>
      </c>
      <c r="AK186" s="63" t="str">
        <f aca="false">IF($AH186="","",IFERROR(IF($C186&lt;=$AH186,"OK a ese precio","Bajar costo"),"Error"))</f>
        <v/>
      </c>
    </row>
    <row r="187" customFormat="false" ht="15" hidden="false" customHeight="false" outlineLevel="0" collapsed="false">
      <c r="E187" s="0" t="str">
        <f aca="false">IF($C187="","",$C187*(1+$D187))</f>
        <v/>
      </c>
      <c r="J187" s="57"/>
      <c r="K187" s="57"/>
      <c r="L187" s="58"/>
      <c r="M187" s="59"/>
      <c r="N187" s="59"/>
      <c r="O187" s="60" t="str">
        <f aca="false">IF($M187="","",IFERROR(IF($K187="Clásica",VLOOKUP("Argentina"&amp;$J187,Datos!$C:$D,2,0),VLOOKUP("Argentina"&amp;$J187,Datos!$C:$D,2,0)+VLOOKUP("Argentina"&amp;$K187,Datos!$H:$I,2,0)),"Error"))</f>
        <v/>
      </c>
      <c r="P187" s="61" t="str">
        <f aca="false">IF($M187="","",IFERROR(-$M187*$O187,"Error"))</f>
        <v/>
      </c>
      <c r="Q187" s="61" t="str">
        <f aca="false">IF($M187="","",IFERROR(-($P187-$P187/(1+Datos!$B$2)),"Error"))</f>
        <v/>
      </c>
      <c r="R187" s="61" t="str">
        <f aca="false">IF($M187="","",IF($M187&lt;=15000,-1000,IF($M187&lt;=25000,-2000,IF($M187&lt;=33000,-2400,0))))</f>
        <v/>
      </c>
      <c r="S187" s="61" t="str">
        <f aca="false">IF($M187="","",-($R187-$R187/(1+Datos!$B$2)))</f>
        <v/>
      </c>
      <c r="T187" s="61" t="str">
        <f aca="false">IF($M187="","",-$M187/(1+$L187)*$L187)</f>
        <v/>
      </c>
      <c r="U187" s="61" t="str">
        <f aca="false">IF($M187="","",$C187*$D187)</f>
        <v/>
      </c>
      <c r="V187" s="61" t="str">
        <f aca="false">IF($M187="","",-N($N187))</f>
        <v/>
      </c>
      <c r="W187" s="61" t="str">
        <f aca="false">IF($M187="","",-($V187-$V187/(1+Datos!$B$2)))</f>
        <v/>
      </c>
      <c r="X187" s="61" t="str">
        <f aca="false">IF($M187="","",-$M187*Datos!$C$2)</f>
        <v/>
      </c>
      <c r="Y187" s="61" t="str">
        <f aca="false">IF($M187="","",IFERROR($M187+$U187+$T187+$P187+$Q187+$R187+$S187+$V187+$W187+$X187,"Error"))</f>
        <v/>
      </c>
      <c r="Z187" s="61" t="str">
        <f aca="false">IF($M187="","",IFERROR($Y187-$E187,"Error"))</f>
        <v/>
      </c>
      <c r="AA187" s="60" t="str">
        <f aca="false">IF($M187="","",IFERROR($Z187/($M187+$T187),"Error"))</f>
        <v/>
      </c>
      <c r="AB187" s="62" t="str">
        <f aca="false">IF($M187="","",IFERROR($M187/$E187,"Error"))</f>
        <v/>
      </c>
      <c r="AD187" s="59"/>
      <c r="AE187" s="57"/>
      <c r="AF187" s="58"/>
      <c r="AG187" s="60" t="str">
        <f aca="false">IF(N($AD187)=0,"",IFERROR(($AD187/(1+$L187)-($AD187*$O187+IF($AD187&lt;=15000,1000,IF($AD187&lt;=25000,2000,IF($AD187&lt;=33000,2400,0)))+N($N187))/(1+Datos!$B$2)-$AD187*Datos!$C$2-$C187)/($AD187/(1+$L187)),"Error"))</f>
        <v/>
      </c>
      <c r="AH187" s="61" t="str">
        <f aca="false">IF(N($AD187)=0,"",IFERROR($AD187/(1+$L187)*(1-$AF187)-($AD187*$O187+IF($AD187&lt;=15000,1000,IF($AD187&lt;=25000,2000,IF($AD187&lt;=33000,2400,0)))+N($N187))/(1+Datos!$B$2)-$AD187*Datos!$C$2,"Error"))</f>
        <v/>
      </c>
      <c r="AI187" s="61" t="str">
        <f aca="false">IF($AH187="","",IFERROR($AH187*(1+$D187),"Error"))</f>
        <v/>
      </c>
      <c r="AJ187" s="60" t="str">
        <f aca="false">IF($AH187="","",IFERROR($C187/$AH187-1,"Error"))</f>
        <v/>
      </c>
      <c r="AK187" s="63" t="str">
        <f aca="false">IF($AH187="","",IFERROR(IF($C187&lt;=$AH187,"OK a ese precio","Bajar costo"),"Error"))</f>
        <v/>
      </c>
    </row>
    <row r="188" customFormat="false" ht="15" hidden="false" customHeight="false" outlineLevel="0" collapsed="false">
      <c r="E188" s="0" t="str">
        <f aca="false">IF($C188="","",$C188*(1+$D188))</f>
        <v/>
      </c>
      <c r="J188" s="57"/>
      <c r="K188" s="57"/>
      <c r="L188" s="58"/>
      <c r="M188" s="59"/>
      <c r="N188" s="59"/>
      <c r="O188" s="60" t="str">
        <f aca="false">IF($M188="","",IFERROR(IF($K188="Clásica",VLOOKUP("Argentina"&amp;$J188,Datos!$C:$D,2,0),VLOOKUP("Argentina"&amp;$J188,Datos!$C:$D,2,0)+VLOOKUP("Argentina"&amp;$K188,Datos!$H:$I,2,0)),"Error"))</f>
        <v/>
      </c>
      <c r="P188" s="61" t="str">
        <f aca="false">IF($M188="","",IFERROR(-$M188*$O188,"Error"))</f>
        <v/>
      </c>
      <c r="Q188" s="61" t="str">
        <f aca="false">IF($M188="","",IFERROR(-($P188-$P188/(1+Datos!$B$2)),"Error"))</f>
        <v/>
      </c>
      <c r="R188" s="61" t="str">
        <f aca="false">IF($M188="","",IF($M188&lt;=15000,-1000,IF($M188&lt;=25000,-2000,IF($M188&lt;=33000,-2400,0))))</f>
        <v/>
      </c>
      <c r="S188" s="61" t="str">
        <f aca="false">IF($M188="","",-($R188-$R188/(1+Datos!$B$2)))</f>
        <v/>
      </c>
      <c r="T188" s="61" t="str">
        <f aca="false">IF($M188="","",-$M188/(1+$L188)*$L188)</f>
        <v/>
      </c>
      <c r="U188" s="61" t="str">
        <f aca="false">IF($M188="","",$C188*$D188)</f>
        <v/>
      </c>
      <c r="V188" s="61" t="str">
        <f aca="false">IF($M188="","",-N($N188))</f>
        <v/>
      </c>
      <c r="W188" s="61" t="str">
        <f aca="false">IF($M188="","",-($V188-$V188/(1+Datos!$B$2)))</f>
        <v/>
      </c>
      <c r="X188" s="61" t="str">
        <f aca="false">IF($M188="","",-$M188*Datos!$C$2)</f>
        <v/>
      </c>
      <c r="Y188" s="61" t="str">
        <f aca="false">IF($M188="","",IFERROR($M188+$U188+$T188+$P188+$Q188+$R188+$S188+$V188+$W188+$X188,"Error"))</f>
        <v/>
      </c>
      <c r="Z188" s="61" t="str">
        <f aca="false">IF($M188="","",IFERROR($Y188-$E188,"Error"))</f>
        <v/>
      </c>
      <c r="AA188" s="60" t="str">
        <f aca="false">IF($M188="","",IFERROR($Z188/($M188+$T188),"Error"))</f>
        <v/>
      </c>
      <c r="AB188" s="62" t="str">
        <f aca="false">IF($M188="","",IFERROR($M188/$E188,"Error"))</f>
        <v/>
      </c>
      <c r="AD188" s="59"/>
      <c r="AE188" s="57"/>
      <c r="AF188" s="58"/>
      <c r="AG188" s="60" t="str">
        <f aca="false">IF(N($AD188)=0,"",IFERROR(($AD188/(1+$L188)-($AD188*$O188+IF($AD188&lt;=15000,1000,IF($AD188&lt;=25000,2000,IF($AD188&lt;=33000,2400,0)))+N($N188))/(1+Datos!$B$2)-$AD188*Datos!$C$2-$C188)/($AD188/(1+$L188)),"Error"))</f>
        <v/>
      </c>
      <c r="AH188" s="61" t="str">
        <f aca="false">IF(N($AD188)=0,"",IFERROR($AD188/(1+$L188)*(1-$AF188)-($AD188*$O188+IF($AD188&lt;=15000,1000,IF($AD188&lt;=25000,2000,IF($AD188&lt;=33000,2400,0)))+N($N188))/(1+Datos!$B$2)-$AD188*Datos!$C$2,"Error"))</f>
        <v/>
      </c>
      <c r="AI188" s="61" t="str">
        <f aca="false">IF($AH188="","",IFERROR($AH188*(1+$D188),"Error"))</f>
        <v/>
      </c>
      <c r="AJ188" s="60" t="str">
        <f aca="false">IF($AH188="","",IFERROR($C188/$AH188-1,"Error"))</f>
        <v/>
      </c>
      <c r="AK188" s="63" t="str">
        <f aca="false">IF($AH188="","",IFERROR(IF($C188&lt;=$AH188,"OK a ese precio","Bajar costo"),"Error"))</f>
        <v/>
      </c>
    </row>
    <row r="189" customFormat="false" ht="15" hidden="false" customHeight="false" outlineLevel="0" collapsed="false">
      <c r="E189" s="0" t="str">
        <f aca="false">IF($C189="","",$C189*(1+$D189))</f>
        <v/>
      </c>
      <c r="J189" s="57"/>
      <c r="K189" s="57"/>
      <c r="L189" s="58"/>
      <c r="M189" s="59"/>
      <c r="N189" s="59"/>
      <c r="O189" s="60" t="str">
        <f aca="false">IF($M189="","",IFERROR(IF($K189="Clásica",VLOOKUP("Argentina"&amp;$J189,Datos!$C:$D,2,0),VLOOKUP("Argentina"&amp;$J189,Datos!$C:$D,2,0)+VLOOKUP("Argentina"&amp;$K189,Datos!$H:$I,2,0)),"Error"))</f>
        <v/>
      </c>
      <c r="P189" s="61" t="str">
        <f aca="false">IF($M189="","",IFERROR(-$M189*$O189,"Error"))</f>
        <v/>
      </c>
      <c r="Q189" s="61" t="str">
        <f aca="false">IF($M189="","",IFERROR(-($P189-$P189/(1+Datos!$B$2)),"Error"))</f>
        <v/>
      </c>
      <c r="R189" s="61" t="str">
        <f aca="false">IF($M189="","",IF($M189&lt;=15000,-1000,IF($M189&lt;=25000,-2000,IF($M189&lt;=33000,-2400,0))))</f>
        <v/>
      </c>
      <c r="S189" s="61" t="str">
        <f aca="false">IF($M189="","",-($R189-$R189/(1+Datos!$B$2)))</f>
        <v/>
      </c>
      <c r="T189" s="61" t="str">
        <f aca="false">IF($M189="","",-$M189/(1+$L189)*$L189)</f>
        <v/>
      </c>
      <c r="U189" s="61" t="str">
        <f aca="false">IF($M189="","",$C189*$D189)</f>
        <v/>
      </c>
      <c r="V189" s="61" t="str">
        <f aca="false">IF($M189="","",-N($N189))</f>
        <v/>
      </c>
      <c r="W189" s="61" t="str">
        <f aca="false">IF($M189="","",-($V189-$V189/(1+Datos!$B$2)))</f>
        <v/>
      </c>
      <c r="X189" s="61" t="str">
        <f aca="false">IF($M189="","",-$M189*Datos!$C$2)</f>
        <v/>
      </c>
      <c r="Y189" s="61" t="str">
        <f aca="false">IF($M189="","",IFERROR($M189+$U189+$T189+$P189+$Q189+$R189+$S189+$V189+$W189+$X189,"Error"))</f>
        <v/>
      </c>
      <c r="Z189" s="61" t="str">
        <f aca="false">IF($M189="","",IFERROR($Y189-$E189,"Error"))</f>
        <v/>
      </c>
      <c r="AA189" s="60" t="str">
        <f aca="false">IF($M189="","",IFERROR($Z189/($M189+$T189),"Error"))</f>
        <v/>
      </c>
      <c r="AB189" s="62" t="str">
        <f aca="false">IF($M189="","",IFERROR($M189/$E189,"Error"))</f>
        <v/>
      </c>
      <c r="AD189" s="59"/>
      <c r="AE189" s="57"/>
      <c r="AF189" s="58"/>
      <c r="AG189" s="60" t="str">
        <f aca="false">IF(N($AD189)=0,"",IFERROR(($AD189/(1+$L189)-($AD189*$O189+IF($AD189&lt;=15000,1000,IF($AD189&lt;=25000,2000,IF($AD189&lt;=33000,2400,0)))+N($N189))/(1+Datos!$B$2)-$AD189*Datos!$C$2-$C189)/($AD189/(1+$L189)),"Error"))</f>
        <v/>
      </c>
      <c r="AH189" s="61" t="str">
        <f aca="false">IF(N($AD189)=0,"",IFERROR($AD189/(1+$L189)*(1-$AF189)-($AD189*$O189+IF($AD189&lt;=15000,1000,IF($AD189&lt;=25000,2000,IF($AD189&lt;=33000,2400,0)))+N($N189))/(1+Datos!$B$2)-$AD189*Datos!$C$2,"Error"))</f>
        <v/>
      </c>
      <c r="AI189" s="61" t="str">
        <f aca="false">IF($AH189="","",IFERROR($AH189*(1+$D189),"Error"))</f>
        <v/>
      </c>
      <c r="AJ189" s="60" t="str">
        <f aca="false">IF($AH189="","",IFERROR($C189/$AH189-1,"Error"))</f>
        <v/>
      </c>
      <c r="AK189" s="63" t="str">
        <f aca="false">IF($AH189="","",IFERROR(IF($C189&lt;=$AH189,"OK a ese precio","Bajar costo"),"Error"))</f>
        <v/>
      </c>
    </row>
    <row r="190" customFormat="false" ht="15" hidden="false" customHeight="false" outlineLevel="0" collapsed="false">
      <c r="E190" s="0" t="str">
        <f aca="false">IF($C190="","",$C190*(1+$D190))</f>
        <v/>
      </c>
      <c r="J190" s="57"/>
      <c r="K190" s="57"/>
      <c r="L190" s="58"/>
      <c r="M190" s="59"/>
      <c r="N190" s="59"/>
      <c r="O190" s="60" t="str">
        <f aca="false">IF($M190="","",IFERROR(IF($K190="Clásica",VLOOKUP("Argentina"&amp;$J190,Datos!$C:$D,2,0),VLOOKUP("Argentina"&amp;$J190,Datos!$C:$D,2,0)+VLOOKUP("Argentina"&amp;$K190,Datos!$H:$I,2,0)),"Error"))</f>
        <v/>
      </c>
      <c r="P190" s="61" t="str">
        <f aca="false">IF($M190="","",IFERROR(-$M190*$O190,"Error"))</f>
        <v/>
      </c>
      <c r="Q190" s="61" t="str">
        <f aca="false">IF($M190="","",IFERROR(-($P190-$P190/(1+Datos!$B$2)),"Error"))</f>
        <v/>
      </c>
      <c r="R190" s="61" t="str">
        <f aca="false">IF($M190="","",IF($M190&lt;=15000,-1000,IF($M190&lt;=25000,-2000,IF($M190&lt;=33000,-2400,0))))</f>
        <v/>
      </c>
      <c r="S190" s="61" t="str">
        <f aca="false">IF($M190="","",-($R190-$R190/(1+Datos!$B$2)))</f>
        <v/>
      </c>
      <c r="T190" s="61" t="str">
        <f aca="false">IF($M190="","",-$M190/(1+$L190)*$L190)</f>
        <v/>
      </c>
      <c r="U190" s="61" t="str">
        <f aca="false">IF($M190="","",$C190*$D190)</f>
        <v/>
      </c>
      <c r="V190" s="61" t="str">
        <f aca="false">IF($M190="","",-N($N190))</f>
        <v/>
      </c>
      <c r="W190" s="61" t="str">
        <f aca="false">IF($M190="","",-($V190-$V190/(1+Datos!$B$2)))</f>
        <v/>
      </c>
      <c r="X190" s="61" t="str">
        <f aca="false">IF($M190="","",-$M190*Datos!$C$2)</f>
        <v/>
      </c>
      <c r="Y190" s="61" t="str">
        <f aca="false">IF($M190="","",IFERROR($M190+$U190+$T190+$P190+$Q190+$R190+$S190+$V190+$W190+$X190,"Error"))</f>
        <v/>
      </c>
      <c r="Z190" s="61" t="str">
        <f aca="false">IF($M190="","",IFERROR($Y190-$E190,"Error"))</f>
        <v/>
      </c>
      <c r="AA190" s="60" t="str">
        <f aca="false">IF($M190="","",IFERROR($Z190/($M190+$T190),"Error"))</f>
        <v/>
      </c>
      <c r="AB190" s="62" t="str">
        <f aca="false">IF($M190="","",IFERROR($M190/$E190,"Error"))</f>
        <v/>
      </c>
      <c r="AD190" s="59"/>
      <c r="AE190" s="57"/>
      <c r="AF190" s="58"/>
      <c r="AG190" s="60" t="str">
        <f aca="false">IF(N($AD190)=0,"",IFERROR(($AD190/(1+$L190)-($AD190*$O190+IF($AD190&lt;=15000,1000,IF($AD190&lt;=25000,2000,IF($AD190&lt;=33000,2400,0)))+N($N190))/(1+Datos!$B$2)-$AD190*Datos!$C$2-$C190)/($AD190/(1+$L190)),"Error"))</f>
        <v/>
      </c>
      <c r="AH190" s="61" t="str">
        <f aca="false">IF(N($AD190)=0,"",IFERROR($AD190/(1+$L190)*(1-$AF190)-($AD190*$O190+IF($AD190&lt;=15000,1000,IF($AD190&lt;=25000,2000,IF($AD190&lt;=33000,2400,0)))+N($N190))/(1+Datos!$B$2)-$AD190*Datos!$C$2,"Error"))</f>
        <v/>
      </c>
      <c r="AI190" s="61" t="str">
        <f aca="false">IF($AH190="","",IFERROR($AH190*(1+$D190),"Error"))</f>
        <v/>
      </c>
      <c r="AJ190" s="60" t="str">
        <f aca="false">IF($AH190="","",IFERROR($C190/$AH190-1,"Error"))</f>
        <v/>
      </c>
      <c r="AK190" s="63" t="str">
        <f aca="false">IF($AH190="","",IFERROR(IF($C190&lt;=$AH190,"OK a ese precio","Bajar costo"),"Error"))</f>
        <v/>
      </c>
    </row>
    <row r="191" customFormat="false" ht="15" hidden="false" customHeight="false" outlineLevel="0" collapsed="false">
      <c r="E191" s="0" t="str">
        <f aca="false">IF($C191="","",$C191*(1+$D191))</f>
        <v/>
      </c>
      <c r="J191" s="57"/>
      <c r="K191" s="57"/>
      <c r="L191" s="58"/>
      <c r="M191" s="59"/>
      <c r="N191" s="59"/>
      <c r="O191" s="60" t="str">
        <f aca="false">IF($M191="","",IFERROR(IF($K191="Clásica",VLOOKUP("Argentina"&amp;$J191,Datos!$C:$D,2,0),VLOOKUP("Argentina"&amp;$J191,Datos!$C:$D,2,0)+VLOOKUP("Argentina"&amp;$K191,Datos!$H:$I,2,0)),"Error"))</f>
        <v/>
      </c>
      <c r="P191" s="61" t="str">
        <f aca="false">IF($M191="","",IFERROR(-$M191*$O191,"Error"))</f>
        <v/>
      </c>
      <c r="Q191" s="61" t="str">
        <f aca="false">IF($M191="","",IFERROR(-($P191-$P191/(1+Datos!$B$2)),"Error"))</f>
        <v/>
      </c>
      <c r="R191" s="61" t="str">
        <f aca="false">IF($M191="","",IF($M191&lt;=15000,-1000,IF($M191&lt;=25000,-2000,IF($M191&lt;=33000,-2400,0))))</f>
        <v/>
      </c>
      <c r="S191" s="61" t="str">
        <f aca="false">IF($M191="","",-($R191-$R191/(1+Datos!$B$2)))</f>
        <v/>
      </c>
      <c r="T191" s="61" t="str">
        <f aca="false">IF($M191="","",-$M191/(1+$L191)*$L191)</f>
        <v/>
      </c>
      <c r="U191" s="61" t="str">
        <f aca="false">IF($M191="","",$C191*$D191)</f>
        <v/>
      </c>
      <c r="V191" s="61" t="str">
        <f aca="false">IF($M191="","",-N($N191))</f>
        <v/>
      </c>
      <c r="W191" s="61" t="str">
        <f aca="false">IF($M191="","",-($V191-$V191/(1+Datos!$B$2)))</f>
        <v/>
      </c>
      <c r="X191" s="61" t="str">
        <f aca="false">IF($M191="","",-$M191*Datos!$C$2)</f>
        <v/>
      </c>
      <c r="Y191" s="61" t="str">
        <f aca="false">IF($M191="","",IFERROR($M191+$U191+$T191+$P191+$Q191+$R191+$S191+$V191+$W191+$X191,"Error"))</f>
        <v/>
      </c>
      <c r="Z191" s="61" t="str">
        <f aca="false">IF($M191="","",IFERROR($Y191-$E191,"Error"))</f>
        <v/>
      </c>
      <c r="AA191" s="60" t="str">
        <f aca="false">IF($M191="","",IFERROR($Z191/($M191+$T191),"Error"))</f>
        <v/>
      </c>
      <c r="AB191" s="62" t="str">
        <f aca="false">IF($M191="","",IFERROR($M191/$E191,"Error"))</f>
        <v/>
      </c>
      <c r="AD191" s="59"/>
      <c r="AE191" s="57"/>
      <c r="AF191" s="58"/>
      <c r="AG191" s="60" t="str">
        <f aca="false">IF(N($AD191)=0,"",IFERROR(($AD191/(1+$L191)-($AD191*$O191+IF($AD191&lt;=15000,1000,IF($AD191&lt;=25000,2000,IF($AD191&lt;=33000,2400,0)))+N($N191))/(1+Datos!$B$2)-$AD191*Datos!$C$2-$C191)/($AD191/(1+$L191)),"Error"))</f>
        <v/>
      </c>
      <c r="AH191" s="61" t="str">
        <f aca="false">IF(N($AD191)=0,"",IFERROR($AD191/(1+$L191)*(1-$AF191)-($AD191*$O191+IF($AD191&lt;=15000,1000,IF($AD191&lt;=25000,2000,IF($AD191&lt;=33000,2400,0)))+N($N191))/(1+Datos!$B$2)-$AD191*Datos!$C$2,"Error"))</f>
        <v/>
      </c>
      <c r="AI191" s="61" t="str">
        <f aca="false">IF($AH191="","",IFERROR($AH191*(1+$D191),"Error"))</f>
        <v/>
      </c>
      <c r="AJ191" s="60" t="str">
        <f aca="false">IF($AH191="","",IFERROR($C191/$AH191-1,"Error"))</f>
        <v/>
      </c>
      <c r="AK191" s="63" t="str">
        <f aca="false">IF($AH191="","",IFERROR(IF($C191&lt;=$AH191,"OK a ese precio","Bajar costo"),"Error"))</f>
        <v/>
      </c>
    </row>
    <row r="192" customFormat="false" ht="15" hidden="false" customHeight="false" outlineLevel="0" collapsed="false">
      <c r="E192" s="0" t="str">
        <f aca="false">IF($C192="","",$C192*(1+$D192))</f>
        <v/>
      </c>
      <c r="J192" s="57"/>
      <c r="K192" s="57"/>
      <c r="L192" s="58"/>
      <c r="M192" s="59"/>
      <c r="N192" s="59"/>
      <c r="O192" s="60" t="str">
        <f aca="false">IF($M192="","",IFERROR(IF($K192="Clásica",VLOOKUP("Argentina"&amp;$J192,Datos!$C:$D,2,0),VLOOKUP("Argentina"&amp;$J192,Datos!$C:$D,2,0)+VLOOKUP("Argentina"&amp;$K192,Datos!$H:$I,2,0)),"Error"))</f>
        <v/>
      </c>
      <c r="P192" s="61" t="str">
        <f aca="false">IF($M192="","",IFERROR(-$M192*$O192,"Error"))</f>
        <v/>
      </c>
      <c r="Q192" s="61" t="str">
        <f aca="false">IF($M192="","",IFERROR(-($P192-$P192/(1+Datos!$B$2)),"Error"))</f>
        <v/>
      </c>
      <c r="R192" s="61" t="str">
        <f aca="false">IF($M192="","",IF($M192&lt;=15000,-1000,IF($M192&lt;=25000,-2000,IF($M192&lt;=33000,-2400,0))))</f>
        <v/>
      </c>
      <c r="S192" s="61" t="str">
        <f aca="false">IF($M192="","",-($R192-$R192/(1+Datos!$B$2)))</f>
        <v/>
      </c>
      <c r="T192" s="61" t="str">
        <f aca="false">IF($M192="","",-$M192/(1+$L192)*$L192)</f>
        <v/>
      </c>
      <c r="U192" s="61" t="str">
        <f aca="false">IF($M192="","",$C192*$D192)</f>
        <v/>
      </c>
      <c r="V192" s="61" t="str">
        <f aca="false">IF($M192="","",-N($N192))</f>
        <v/>
      </c>
      <c r="W192" s="61" t="str">
        <f aca="false">IF($M192="","",-($V192-$V192/(1+Datos!$B$2)))</f>
        <v/>
      </c>
      <c r="X192" s="61" t="str">
        <f aca="false">IF($M192="","",-$M192*Datos!$C$2)</f>
        <v/>
      </c>
      <c r="Y192" s="61" t="str">
        <f aca="false">IF($M192="","",IFERROR($M192+$U192+$T192+$P192+$Q192+$R192+$S192+$V192+$W192+$X192,"Error"))</f>
        <v/>
      </c>
      <c r="Z192" s="61" t="str">
        <f aca="false">IF($M192="","",IFERROR($Y192-$E192,"Error"))</f>
        <v/>
      </c>
      <c r="AA192" s="60" t="str">
        <f aca="false">IF($M192="","",IFERROR($Z192/($M192+$T192),"Error"))</f>
        <v/>
      </c>
      <c r="AB192" s="62" t="str">
        <f aca="false">IF($M192="","",IFERROR($M192/$E192,"Error"))</f>
        <v/>
      </c>
      <c r="AD192" s="59"/>
      <c r="AE192" s="57"/>
      <c r="AF192" s="58"/>
      <c r="AG192" s="60" t="str">
        <f aca="false">IF(N($AD192)=0,"",IFERROR(($AD192/(1+$L192)-($AD192*$O192+IF($AD192&lt;=15000,1000,IF($AD192&lt;=25000,2000,IF($AD192&lt;=33000,2400,0)))+N($N192))/(1+Datos!$B$2)-$AD192*Datos!$C$2-$C192)/($AD192/(1+$L192)),"Error"))</f>
        <v/>
      </c>
      <c r="AH192" s="61" t="str">
        <f aca="false">IF(N($AD192)=0,"",IFERROR($AD192/(1+$L192)*(1-$AF192)-($AD192*$O192+IF($AD192&lt;=15000,1000,IF($AD192&lt;=25000,2000,IF($AD192&lt;=33000,2400,0)))+N($N192))/(1+Datos!$B$2)-$AD192*Datos!$C$2,"Error"))</f>
        <v/>
      </c>
      <c r="AI192" s="61" t="str">
        <f aca="false">IF($AH192="","",IFERROR($AH192*(1+$D192),"Error"))</f>
        <v/>
      </c>
      <c r="AJ192" s="60" t="str">
        <f aca="false">IF($AH192="","",IFERROR($C192/$AH192-1,"Error"))</f>
        <v/>
      </c>
      <c r="AK192" s="63" t="str">
        <f aca="false">IF($AH192="","",IFERROR(IF($C192&lt;=$AH192,"OK a ese precio","Bajar costo"),"Error"))</f>
        <v/>
      </c>
    </row>
    <row r="193" customFormat="false" ht="15" hidden="false" customHeight="false" outlineLevel="0" collapsed="false">
      <c r="E193" s="0" t="str">
        <f aca="false">IF($C193="","",$C193*(1+$D193))</f>
        <v/>
      </c>
      <c r="J193" s="57"/>
      <c r="K193" s="57"/>
      <c r="L193" s="58"/>
      <c r="M193" s="59"/>
      <c r="N193" s="59"/>
      <c r="O193" s="60" t="str">
        <f aca="false">IF($M193="","",IFERROR(IF($K193="Clásica",VLOOKUP("Argentina"&amp;$J193,Datos!$C:$D,2,0),VLOOKUP("Argentina"&amp;$J193,Datos!$C:$D,2,0)+VLOOKUP("Argentina"&amp;$K193,Datos!$H:$I,2,0)),"Error"))</f>
        <v/>
      </c>
      <c r="P193" s="61" t="str">
        <f aca="false">IF($M193="","",IFERROR(-$M193*$O193,"Error"))</f>
        <v/>
      </c>
      <c r="Q193" s="61" t="str">
        <f aca="false">IF($M193="","",IFERROR(-($P193-$P193/(1+Datos!$B$2)),"Error"))</f>
        <v/>
      </c>
      <c r="R193" s="61" t="str">
        <f aca="false">IF($M193="","",IF($M193&lt;=15000,-1000,IF($M193&lt;=25000,-2000,IF($M193&lt;=33000,-2400,0))))</f>
        <v/>
      </c>
      <c r="S193" s="61" t="str">
        <f aca="false">IF($M193="","",-($R193-$R193/(1+Datos!$B$2)))</f>
        <v/>
      </c>
      <c r="T193" s="61" t="str">
        <f aca="false">IF($M193="","",-$M193/(1+$L193)*$L193)</f>
        <v/>
      </c>
      <c r="U193" s="61" t="str">
        <f aca="false">IF($M193="","",$C193*$D193)</f>
        <v/>
      </c>
      <c r="V193" s="61" t="str">
        <f aca="false">IF($M193="","",-N($N193))</f>
        <v/>
      </c>
      <c r="W193" s="61" t="str">
        <f aca="false">IF($M193="","",-($V193-$V193/(1+Datos!$B$2)))</f>
        <v/>
      </c>
      <c r="X193" s="61" t="str">
        <f aca="false">IF($M193="","",-$M193*Datos!$C$2)</f>
        <v/>
      </c>
      <c r="Y193" s="61" t="str">
        <f aca="false">IF($M193="","",IFERROR($M193+$U193+$T193+$P193+$Q193+$R193+$S193+$V193+$W193+$X193,"Error"))</f>
        <v/>
      </c>
      <c r="Z193" s="61" t="str">
        <f aca="false">IF($M193="","",IFERROR($Y193-$E193,"Error"))</f>
        <v/>
      </c>
      <c r="AA193" s="60" t="str">
        <f aca="false">IF($M193="","",IFERROR($Z193/($M193+$T193),"Error"))</f>
        <v/>
      </c>
      <c r="AB193" s="62" t="str">
        <f aca="false">IF($M193="","",IFERROR($M193/$E193,"Error"))</f>
        <v/>
      </c>
      <c r="AD193" s="59"/>
      <c r="AE193" s="57"/>
      <c r="AF193" s="58"/>
      <c r="AG193" s="60" t="str">
        <f aca="false">IF(N($AD193)=0,"",IFERROR(($AD193/(1+$L193)-($AD193*$O193+IF($AD193&lt;=15000,1000,IF($AD193&lt;=25000,2000,IF($AD193&lt;=33000,2400,0)))+N($N193))/(1+Datos!$B$2)-$AD193*Datos!$C$2-$C193)/($AD193/(1+$L193)),"Error"))</f>
        <v/>
      </c>
      <c r="AH193" s="61" t="str">
        <f aca="false">IF(N($AD193)=0,"",IFERROR($AD193/(1+$L193)*(1-$AF193)-($AD193*$O193+IF($AD193&lt;=15000,1000,IF($AD193&lt;=25000,2000,IF($AD193&lt;=33000,2400,0)))+N($N193))/(1+Datos!$B$2)-$AD193*Datos!$C$2,"Error"))</f>
        <v/>
      </c>
      <c r="AI193" s="61" t="str">
        <f aca="false">IF($AH193="","",IFERROR($AH193*(1+$D193),"Error"))</f>
        <v/>
      </c>
      <c r="AJ193" s="60" t="str">
        <f aca="false">IF($AH193="","",IFERROR($C193/$AH193-1,"Error"))</f>
        <v/>
      </c>
      <c r="AK193" s="63" t="str">
        <f aca="false">IF($AH193="","",IFERROR(IF($C193&lt;=$AH193,"OK a ese precio","Bajar costo"),"Error"))</f>
        <v/>
      </c>
    </row>
    <row r="194" customFormat="false" ht="15" hidden="false" customHeight="false" outlineLevel="0" collapsed="false">
      <c r="E194" s="0" t="str">
        <f aca="false">IF($C194="","",$C194*(1+$D194))</f>
        <v/>
      </c>
      <c r="J194" s="57"/>
      <c r="K194" s="57"/>
      <c r="L194" s="58"/>
      <c r="M194" s="59"/>
      <c r="N194" s="59"/>
      <c r="O194" s="60" t="str">
        <f aca="false">IF($M194="","",IFERROR(IF($K194="Clásica",VLOOKUP("Argentina"&amp;$J194,Datos!$C:$D,2,0),VLOOKUP("Argentina"&amp;$J194,Datos!$C:$D,2,0)+VLOOKUP("Argentina"&amp;$K194,Datos!$H:$I,2,0)),"Error"))</f>
        <v/>
      </c>
      <c r="P194" s="61" t="str">
        <f aca="false">IF($M194="","",IFERROR(-$M194*$O194,"Error"))</f>
        <v/>
      </c>
      <c r="Q194" s="61" t="str">
        <f aca="false">IF($M194="","",IFERROR(-($P194-$P194/(1+Datos!$B$2)),"Error"))</f>
        <v/>
      </c>
      <c r="R194" s="61" t="str">
        <f aca="false">IF($M194="","",IF($M194&lt;=15000,-1000,IF($M194&lt;=25000,-2000,IF($M194&lt;=33000,-2400,0))))</f>
        <v/>
      </c>
      <c r="S194" s="61" t="str">
        <f aca="false">IF($M194="","",-($R194-$R194/(1+Datos!$B$2)))</f>
        <v/>
      </c>
      <c r="T194" s="61" t="str">
        <f aca="false">IF($M194="","",-$M194/(1+$L194)*$L194)</f>
        <v/>
      </c>
      <c r="U194" s="61" t="str">
        <f aca="false">IF($M194="","",$C194*$D194)</f>
        <v/>
      </c>
      <c r="V194" s="61" t="str">
        <f aca="false">IF($M194="","",-N($N194))</f>
        <v/>
      </c>
      <c r="W194" s="61" t="str">
        <f aca="false">IF($M194="","",-($V194-$V194/(1+Datos!$B$2)))</f>
        <v/>
      </c>
      <c r="X194" s="61" t="str">
        <f aca="false">IF($M194="","",-$M194*Datos!$C$2)</f>
        <v/>
      </c>
      <c r="Y194" s="61" t="str">
        <f aca="false">IF($M194="","",IFERROR($M194+$U194+$T194+$P194+$Q194+$R194+$S194+$V194+$W194+$X194,"Error"))</f>
        <v/>
      </c>
      <c r="Z194" s="61" t="str">
        <f aca="false">IF($M194="","",IFERROR($Y194-$E194,"Error"))</f>
        <v/>
      </c>
      <c r="AA194" s="60" t="str">
        <f aca="false">IF($M194="","",IFERROR($Z194/($M194+$T194),"Error"))</f>
        <v/>
      </c>
      <c r="AB194" s="62" t="str">
        <f aca="false">IF($M194="","",IFERROR($M194/$E194,"Error"))</f>
        <v/>
      </c>
      <c r="AD194" s="59"/>
      <c r="AE194" s="57"/>
      <c r="AF194" s="58"/>
      <c r="AG194" s="60" t="str">
        <f aca="false">IF(N($AD194)=0,"",IFERROR(($AD194/(1+$L194)-($AD194*$O194+IF($AD194&lt;=15000,1000,IF($AD194&lt;=25000,2000,IF($AD194&lt;=33000,2400,0)))+N($N194))/(1+Datos!$B$2)-$AD194*Datos!$C$2-$C194)/($AD194/(1+$L194)),"Error"))</f>
        <v/>
      </c>
      <c r="AH194" s="61" t="str">
        <f aca="false">IF(N($AD194)=0,"",IFERROR($AD194/(1+$L194)*(1-$AF194)-($AD194*$O194+IF($AD194&lt;=15000,1000,IF($AD194&lt;=25000,2000,IF($AD194&lt;=33000,2400,0)))+N($N194))/(1+Datos!$B$2)-$AD194*Datos!$C$2,"Error"))</f>
        <v/>
      </c>
      <c r="AI194" s="61" t="str">
        <f aca="false">IF($AH194="","",IFERROR($AH194*(1+$D194),"Error"))</f>
        <v/>
      </c>
      <c r="AJ194" s="60" t="str">
        <f aca="false">IF($AH194="","",IFERROR($C194/$AH194-1,"Error"))</f>
        <v/>
      </c>
      <c r="AK194" s="63" t="str">
        <f aca="false">IF($AH194="","",IFERROR(IF($C194&lt;=$AH194,"OK a ese precio","Bajar costo"),"Error"))</f>
        <v/>
      </c>
    </row>
    <row r="195" customFormat="false" ht="15" hidden="false" customHeight="false" outlineLevel="0" collapsed="false">
      <c r="E195" s="0" t="str">
        <f aca="false">IF($C195="","",$C195*(1+$D195))</f>
        <v/>
      </c>
      <c r="J195" s="57"/>
      <c r="K195" s="57"/>
      <c r="L195" s="58"/>
      <c r="M195" s="59"/>
      <c r="N195" s="59"/>
      <c r="O195" s="60" t="str">
        <f aca="false">IF($M195="","",IFERROR(IF($K195="Clásica",VLOOKUP("Argentina"&amp;$J195,Datos!$C:$D,2,0),VLOOKUP("Argentina"&amp;$J195,Datos!$C:$D,2,0)+VLOOKUP("Argentina"&amp;$K195,Datos!$H:$I,2,0)),"Error"))</f>
        <v/>
      </c>
      <c r="P195" s="61" t="str">
        <f aca="false">IF($M195="","",IFERROR(-$M195*$O195,"Error"))</f>
        <v/>
      </c>
      <c r="Q195" s="61" t="str">
        <f aca="false">IF($M195="","",IFERROR(-($P195-$P195/(1+Datos!$B$2)),"Error"))</f>
        <v/>
      </c>
      <c r="R195" s="61" t="str">
        <f aca="false">IF($M195="","",IF($M195&lt;=15000,-1000,IF($M195&lt;=25000,-2000,IF($M195&lt;=33000,-2400,0))))</f>
        <v/>
      </c>
      <c r="S195" s="61" t="str">
        <f aca="false">IF($M195="","",-($R195-$R195/(1+Datos!$B$2)))</f>
        <v/>
      </c>
      <c r="T195" s="61" t="str">
        <f aca="false">IF($M195="","",-$M195/(1+$L195)*$L195)</f>
        <v/>
      </c>
      <c r="U195" s="61" t="str">
        <f aca="false">IF($M195="","",$C195*$D195)</f>
        <v/>
      </c>
      <c r="V195" s="61" t="str">
        <f aca="false">IF($M195="","",-N($N195))</f>
        <v/>
      </c>
      <c r="W195" s="61" t="str">
        <f aca="false">IF($M195="","",-($V195-$V195/(1+Datos!$B$2)))</f>
        <v/>
      </c>
      <c r="X195" s="61" t="str">
        <f aca="false">IF($M195="","",-$M195*Datos!$C$2)</f>
        <v/>
      </c>
      <c r="Y195" s="61" t="str">
        <f aca="false">IF($M195="","",IFERROR($M195+$U195+$T195+$P195+$Q195+$R195+$S195+$V195+$W195+$X195,"Error"))</f>
        <v/>
      </c>
      <c r="Z195" s="61" t="str">
        <f aca="false">IF($M195="","",IFERROR($Y195-$E195,"Error"))</f>
        <v/>
      </c>
      <c r="AA195" s="60" t="str">
        <f aca="false">IF($M195="","",IFERROR($Z195/($M195+$T195),"Error"))</f>
        <v/>
      </c>
      <c r="AB195" s="62" t="str">
        <f aca="false">IF($M195="","",IFERROR($M195/$E195,"Error"))</f>
        <v/>
      </c>
      <c r="AD195" s="59"/>
      <c r="AE195" s="57"/>
      <c r="AF195" s="58"/>
      <c r="AG195" s="60" t="str">
        <f aca="false">IF(N($AD195)=0,"",IFERROR(($AD195/(1+$L195)-($AD195*$O195+IF($AD195&lt;=15000,1000,IF($AD195&lt;=25000,2000,IF($AD195&lt;=33000,2400,0)))+N($N195))/(1+Datos!$B$2)-$AD195*Datos!$C$2-$C195)/($AD195/(1+$L195)),"Error"))</f>
        <v/>
      </c>
      <c r="AH195" s="61" t="str">
        <f aca="false">IF(N($AD195)=0,"",IFERROR($AD195/(1+$L195)*(1-$AF195)-($AD195*$O195+IF($AD195&lt;=15000,1000,IF($AD195&lt;=25000,2000,IF($AD195&lt;=33000,2400,0)))+N($N195))/(1+Datos!$B$2)-$AD195*Datos!$C$2,"Error"))</f>
        <v/>
      </c>
      <c r="AI195" s="61" t="str">
        <f aca="false">IF($AH195="","",IFERROR($AH195*(1+$D195),"Error"))</f>
        <v/>
      </c>
      <c r="AJ195" s="60" t="str">
        <f aca="false">IF($AH195="","",IFERROR($C195/$AH195-1,"Error"))</f>
        <v/>
      </c>
      <c r="AK195" s="63" t="str">
        <f aca="false">IF($AH195="","",IFERROR(IF($C195&lt;=$AH195,"OK a ese precio","Bajar costo"),"Error"))</f>
        <v/>
      </c>
    </row>
    <row r="196" customFormat="false" ht="15" hidden="false" customHeight="false" outlineLevel="0" collapsed="false">
      <c r="E196" s="0" t="str">
        <f aca="false">IF($C196="","",$C196*(1+$D196))</f>
        <v/>
      </c>
      <c r="J196" s="57"/>
      <c r="K196" s="57"/>
      <c r="L196" s="58"/>
      <c r="M196" s="59"/>
      <c r="N196" s="59"/>
      <c r="O196" s="60" t="str">
        <f aca="false">IF($M196="","",IFERROR(IF($K196="Clásica",VLOOKUP("Argentina"&amp;$J196,Datos!$C:$D,2,0),VLOOKUP("Argentina"&amp;$J196,Datos!$C:$D,2,0)+VLOOKUP("Argentina"&amp;$K196,Datos!$H:$I,2,0)),"Error"))</f>
        <v/>
      </c>
      <c r="P196" s="61" t="str">
        <f aca="false">IF($M196="","",IFERROR(-$M196*$O196,"Error"))</f>
        <v/>
      </c>
      <c r="Q196" s="61" t="str">
        <f aca="false">IF($M196="","",IFERROR(-($P196-$P196/(1+Datos!$B$2)),"Error"))</f>
        <v/>
      </c>
      <c r="R196" s="61" t="str">
        <f aca="false">IF($M196="","",IF($M196&lt;=15000,-1000,IF($M196&lt;=25000,-2000,IF($M196&lt;=33000,-2400,0))))</f>
        <v/>
      </c>
      <c r="S196" s="61" t="str">
        <f aca="false">IF($M196="","",-($R196-$R196/(1+Datos!$B$2)))</f>
        <v/>
      </c>
      <c r="T196" s="61" t="str">
        <f aca="false">IF($M196="","",-$M196/(1+$L196)*$L196)</f>
        <v/>
      </c>
      <c r="U196" s="61" t="str">
        <f aca="false">IF($M196="","",$C196*$D196)</f>
        <v/>
      </c>
      <c r="V196" s="61" t="str">
        <f aca="false">IF($M196="","",-N($N196))</f>
        <v/>
      </c>
      <c r="W196" s="61" t="str">
        <f aca="false">IF($M196="","",-($V196-$V196/(1+Datos!$B$2)))</f>
        <v/>
      </c>
      <c r="X196" s="61" t="str">
        <f aca="false">IF($M196="","",-$M196*Datos!$C$2)</f>
        <v/>
      </c>
      <c r="Y196" s="61" t="str">
        <f aca="false">IF($M196="","",IFERROR($M196+$U196+$T196+$P196+$Q196+$R196+$S196+$V196+$W196+$X196,"Error"))</f>
        <v/>
      </c>
      <c r="Z196" s="61" t="str">
        <f aca="false">IF($M196="","",IFERROR($Y196-$E196,"Error"))</f>
        <v/>
      </c>
      <c r="AA196" s="60" t="str">
        <f aca="false">IF($M196="","",IFERROR($Z196/($M196+$T196),"Error"))</f>
        <v/>
      </c>
      <c r="AB196" s="62" t="str">
        <f aca="false">IF($M196="","",IFERROR($M196/$E196,"Error"))</f>
        <v/>
      </c>
      <c r="AD196" s="59"/>
      <c r="AE196" s="57"/>
      <c r="AF196" s="58"/>
      <c r="AG196" s="60" t="str">
        <f aca="false">IF(N($AD196)=0,"",IFERROR(($AD196/(1+$L196)-($AD196*$O196+IF($AD196&lt;=15000,1000,IF($AD196&lt;=25000,2000,IF($AD196&lt;=33000,2400,0)))+N($N196))/(1+Datos!$B$2)-$AD196*Datos!$C$2-$C196)/($AD196/(1+$L196)),"Error"))</f>
        <v/>
      </c>
      <c r="AH196" s="61" t="str">
        <f aca="false">IF(N($AD196)=0,"",IFERROR($AD196/(1+$L196)*(1-$AF196)-($AD196*$O196+IF($AD196&lt;=15000,1000,IF($AD196&lt;=25000,2000,IF($AD196&lt;=33000,2400,0)))+N($N196))/(1+Datos!$B$2)-$AD196*Datos!$C$2,"Error"))</f>
        <v/>
      </c>
      <c r="AI196" s="61" t="str">
        <f aca="false">IF($AH196="","",IFERROR($AH196*(1+$D196),"Error"))</f>
        <v/>
      </c>
      <c r="AJ196" s="60" t="str">
        <f aca="false">IF($AH196="","",IFERROR($C196/$AH196-1,"Error"))</f>
        <v/>
      </c>
      <c r="AK196" s="63" t="str">
        <f aca="false">IF($AH196="","",IFERROR(IF($C196&lt;=$AH196,"OK a ese precio","Bajar costo"),"Error"))</f>
        <v/>
      </c>
    </row>
    <row r="197" customFormat="false" ht="15" hidden="false" customHeight="false" outlineLevel="0" collapsed="false">
      <c r="E197" s="0" t="str">
        <f aca="false">IF($C197="","",$C197*(1+$D197))</f>
        <v/>
      </c>
      <c r="J197" s="57"/>
      <c r="K197" s="57"/>
      <c r="L197" s="58"/>
      <c r="M197" s="59"/>
      <c r="N197" s="59"/>
      <c r="O197" s="60" t="str">
        <f aca="false">IF($M197="","",IFERROR(IF($K197="Clásica",VLOOKUP("Argentina"&amp;$J197,Datos!$C:$D,2,0),VLOOKUP("Argentina"&amp;$J197,Datos!$C:$D,2,0)+VLOOKUP("Argentina"&amp;$K197,Datos!$H:$I,2,0)),"Error"))</f>
        <v/>
      </c>
      <c r="P197" s="61" t="str">
        <f aca="false">IF($M197="","",IFERROR(-$M197*$O197,"Error"))</f>
        <v/>
      </c>
      <c r="Q197" s="61" t="str">
        <f aca="false">IF($M197="","",IFERROR(-($P197-$P197/(1+Datos!$B$2)),"Error"))</f>
        <v/>
      </c>
      <c r="R197" s="61" t="str">
        <f aca="false">IF($M197="","",IF($M197&lt;=15000,-1000,IF($M197&lt;=25000,-2000,IF($M197&lt;=33000,-2400,0))))</f>
        <v/>
      </c>
      <c r="S197" s="61" t="str">
        <f aca="false">IF($M197="","",-($R197-$R197/(1+Datos!$B$2)))</f>
        <v/>
      </c>
      <c r="T197" s="61" t="str">
        <f aca="false">IF($M197="","",-$M197/(1+$L197)*$L197)</f>
        <v/>
      </c>
      <c r="U197" s="61" t="str">
        <f aca="false">IF($M197="","",$C197*$D197)</f>
        <v/>
      </c>
      <c r="V197" s="61" t="str">
        <f aca="false">IF($M197="","",-N($N197))</f>
        <v/>
      </c>
      <c r="W197" s="61" t="str">
        <f aca="false">IF($M197="","",-($V197-$V197/(1+Datos!$B$2)))</f>
        <v/>
      </c>
      <c r="X197" s="61" t="str">
        <f aca="false">IF($M197="","",-$M197*Datos!$C$2)</f>
        <v/>
      </c>
      <c r="Y197" s="61" t="str">
        <f aca="false">IF($M197="","",IFERROR($M197+$U197+$T197+$P197+$Q197+$R197+$S197+$V197+$W197+$X197,"Error"))</f>
        <v/>
      </c>
      <c r="Z197" s="61" t="str">
        <f aca="false">IF($M197="","",IFERROR($Y197-$E197,"Error"))</f>
        <v/>
      </c>
      <c r="AA197" s="60" t="str">
        <f aca="false">IF($M197="","",IFERROR($Z197/($M197+$T197),"Error"))</f>
        <v/>
      </c>
      <c r="AB197" s="62" t="str">
        <f aca="false">IF($M197="","",IFERROR($M197/$E197,"Error"))</f>
        <v/>
      </c>
      <c r="AD197" s="59"/>
      <c r="AE197" s="57"/>
      <c r="AF197" s="58"/>
      <c r="AG197" s="60" t="str">
        <f aca="false">IF(N($AD197)=0,"",IFERROR(($AD197/(1+$L197)-($AD197*$O197+IF($AD197&lt;=15000,1000,IF($AD197&lt;=25000,2000,IF($AD197&lt;=33000,2400,0)))+N($N197))/(1+Datos!$B$2)-$AD197*Datos!$C$2-$C197)/($AD197/(1+$L197)),"Error"))</f>
        <v/>
      </c>
      <c r="AH197" s="61" t="str">
        <f aca="false">IF(N($AD197)=0,"",IFERROR($AD197/(1+$L197)*(1-$AF197)-($AD197*$O197+IF($AD197&lt;=15000,1000,IF($AD197&lt;=25000,2000,IF($AD197&lt;=33000,2400,0)))+N($N197))/(1+Datos!$B$2)-$AD197*Datos!$C$2,"Error"))</f>
        <v/>
      </c>
      <c r="AI197" s="61" t="str">
        <f aca="false">IF($AH197="","",IFERROR($AH197*(1+$D197),"Error"))</f>
        <v/>
      </c>
      <c r="AJ197" s="60" t="str">
        <f aca="false">IF($AH197="","",IFERROR($C197/$AH197-1,"Error"))</f>
        <v/>
      </c>
      <c r="AK197" s="63" t="str">
        <f aca="false">IF($AH197="","",IFERROR(IF($C197&lt;=$AH197,"OK a ese precio","Bajar costo"),"Error"))</f>
        <v/>
      </c>
    </row>
    <row r="198" customFormat="false" ht="15" hidden="false" customHeight="false" outlineLevel="0" collapsed="false">
      <c r="E198" s="0" t="str">
        <f aca="false">IF($C198="","",$C198*(1+$D198))</f>
        <v/>
      </c>
      <c r="J198" s="57"/>
      <c r="K198" s="57"/>
      <c r="L198" s="58"/>
      <c r="M198" s="59"/>
      <c r="N198" s="59"/>
      <c r="O198" s="60" t="str">
        <f aca="false">IF($M198="","",IFERROR(IF($K198="Clásica",VLOOKUP("Argentina"&amp;$J198,Datos!$C:$D,2,0),VLOOKUP("Argentina"&amp;$J198,Datos!$C:$D,2,0)+VLOOKUP("Argentina"&amp;$K198,Datos!$H:$I,2,0)),"Error"))</f>
        <v/>
      </c>
      <c r="P198" s="61" t="str">
        <f aca="false">IF($M198="","",IFERROR(-$M198*$O198,"Error"))</f>
        <v/>
      </c>
      <c r="Q198" s="61" t="str">
        <f aca="false">IF($M198="","",IFERROR(-($P198-$P198/(1+Datos!$B$2)),"Error"))</f>
        <v/>
      </c>
      <c r="R198" s="61" t="str">
        <f aca="false">IF($M198="","",IF($M198&lt;=15000,-1000,IF($M198&lt;=25000,-2000,IF($M198&lt;=33000,-2400,0))))</f>
        <v/>
      </c>
      <c r="S198" s="61" t="str">
        <f aca="false">IF($M198="","",-($R198-$R198/(1+Datos!$B$2)))</f>
        <v/>
      </c>
      <c r="T198" s="61" t="str">
        <f aca="false">IF($M198="","",-$M198/(1+$L198)*$L198)</f>
        <v/>
      </c>
      <c r="U198" s="61" t="str">
        <f aca="false">IF($M198="","",$C198*$D198)</f>
        <v/>
      </c>
      <c r="V198" s="61" t="str">
        <f aca="false">IF($M198="","",-N($N198))</f>
        <v/>
      </c>
      <c r="W198" s="61" t="str">
        <f aca="false">IF($M198="","",-($V198-$V198/(1+Datos!$B$2)))</f>
        <v/>
      </c>
      <c r="X198" s="61" t="str">
        <f aca="false">IF($M198="","",-$M198*Datos!$C$2)</f>
        <v/>
      </c>
      <c r="Y198" s="61" t="str">
        <f aca="false">IF($M198="","",IFERROR($M198+$U198+$T198+$P198+$Q198+$R198+$S198+$V198+$W198+$X198,"Error"))</f>
        <v/>
      </c>
      <c r="Z198" s="61" t="str">
        <f aca="false">IF($M198="","",IFERROR($Y198-$E198,"Error"))</f>
        <v/>
      </c>
      <c r="AA198" s="60" t="str">
        <f aca="false">IF($M198="","",IFERROR($Z198/($M198+$T198),"Error"))</f>
        <v/>
      </c>
      <c r="AB198" s="62" t="str">
        <f aca="false">IF($M198="","",IFERROR($M198/$E198,"Error"))</f>
        <v/>
      </c>
      <c r="AD198" s="59"/>
      <c r="AE198" s="57"/>
      <c r="AF198" s="58"/>
      <c r="AG198" s="60" t="str">
        <f aca="false">IF(N($AD198)=0,"",IFERROR(($AD198/(1+$L198)-($AD198*$O198+IF($AD198&lt;=15000,1000,IF($AD198&lt;=25000,2000,IF($AD198&lt;=33000,2400,0)))+N($N198))/(1+Datos!$B$2)-$AD198*Datos!$C$2-$C198)/($AD198/(1+$L198)),"Error"))</f>
        <v/>
      </c>
      <c r="AH198" s="61" t="str">
        <f aca="false">IF(N($AD198)=0,"",IFERROR($AD198/(1+$L198)*(1-$AF198)-($AD198*$O198+IF($AD198&lt;=15000,1000,IF($AD198&lt;=25000,2000,IF($AD198&lt;=33000,2400,0)))+N($N198))/(1+Datos!$B$2)-$AD198*Datos!$C$2,"Error"))</f>
        <v/>
      </c>
      <c r="AI198" s="61" t="str">
        <f aca="false">IF($AH198="","",IFERROR($AH198*(1+$D198),"Error"))</f>
        <v/>
      </c>
      <c r="AJ198" s="60" t="str">
        <f aca="false">IF($AH198="","",IFERROR($C198/$AH198-1,"Error"))</f>
        <v/>
      </c>
      <c r="AK198" s="63" t="str">
        <f aca="false">IF($AH198="","",IFERROR(IF($C198&lt;=$AH198,"OK a ese precio","Bajar costo"),"Error"))</f>
        <v/>
      </c>
    </row>
    <row r="199" customFormat="false" ht="15" hidden="false" customHeight="false" outlineLevel="0" collapsed="false">
      <c r="E199" s="0" t="str">
        <f aca="false">IF($C199="","",$C199*(1+$D199))</f>
        <v/>
      </c>
      <c r="J199" s="57"/>
      <c r="K199" s="57"/>
      <c r="L199" s="58"/>
      <c r="M199" s="59"/>
      <c r="N199" s="59"/>
      <c r="O199" s="60" t="str">
        <f aca="false">IF($M199="","",IFERROR(IF($K199="Clásica",VLOOKUP("Argentina"&amp;$J199,Datos!$C:$D,2,0),VLOOKUP("Argentina"&amp;$J199,Datos!$C:$D,2,0)+VLOOKUP("Argentina"&amp;$K199,Datos!$H:$I,2,0)),"Error"))</f>
        <v/>
      </c>
      <c r="P199" s="61" t="str">
        <f aca="false">IF($M199="","",IFERROR(-$M199*$O199,"Error"))</f>
        <v/>
      </c>
      <c r="Q199" s="61" t="str">
        <f aca="false">IF($M199="","",IFERROR(-($P199-$P199/(1+Datos!$B$2)),"Error"))</f>
        <v/>
      </c>
      <c r="R199" s="61" t="str">
        <f aca="false">IF($M199="","",IF($M199&lt;=15000,-1000,IF($M199&lt;=25000,-2000,IF($M199&lt;=33000,-2400,0))))</f>
        <v/>
      </c>
      <c r="S199" s="61" t="str">
        <f aca="false">IF($M199="","",-($R199-$R199/(1+Datos!$B$2)))</f>
        <v/>
      </c>
      <c r="T199" s="61" t="str">
        <f aca="false">IF($M199="","",-$M199/(1+$L199)*$L199)</f>
        <v/>
      </c>
      <c r="U199" s="61" t="str">
        <f aca="false">IF($M199="","",$C199*$D199)</f>
        <v/>
      </c>
      <c r="V199" s="61" t="str">
        <f aca="false">IF($M199="","",-N($N199))</f>
        <v/>
      </c>
      <c r="W199" s="61" t="str">
        <f aca="false">IF($M199="","",-($V199-$V199/(1+Datos!$B$2)))</f>
        <v/>
      </c>
      <c r="X199" s="61" t="str">
        <f aca="false">IF($M199="","",-$M199*Datos!$C$2)</f>
        <v/>
      </c>
      <c r="Y199" s="61" t="str">
        <f aca="false">IF($M199="","",IFERROR($M199+$U199+$T199+$P199+$Q199+$R199+$S199+$V199+$W199+$X199,"Error"))</f>
        <v/>
      </c>
      <c r="Z199" s="61" t="str">
        <f aca="false">IF($M199="","",IFERROR($Y199-$E199,"Error"))</f>
        <v/>
      </c>
      <c r="AA199" s="60" t="str">
        <f aca="false">IF($M199="","",IFERROR($Z199/($M199+$T199),"Error"))</f>
        <v/>
      </c>
      <c r="AB199" s="62" t="str">
        <f aca="false">IF($M199="","",IFERROR($M199/$E199,"Error"))</f>
        <v/>
      </c>
      <c r="AD199" s="59"/>
      <c r="AE199" s="57"/>
      <c r="AF199" s="58"/>
      <c r="AG199" s="60" t="str">
        <f aca="false">IF(N($AD199)=0,"",IFERROR(($AD199/(1+$L199)-($AD199*$O199+IF($AD199&lt;=15000,1000,IF($AD199&lt;=25000,2000,IF($AD199&lt;=33000,2400,0)))+N($N199))/(1+Datos!$B$2)-$AD199*Datos!$C$2-$C199)/($AD199/(1+$L199)),"Error"))</f>
        <v/>
      </c>
      <c r="AH199" s="61" t="str">
        <f aca="false">IF(N($AD199)=0,"",IFERROR($AD199/(1+$L199)*(1-$AF199)-($AD199*$O199+IF($AD199&lt;=15000,1000,IF($AD199&lt;=25000,2000,IF($AD199&lt;=33000,2400,0)))+N($N199))/(1+Datos!$B$2)-$AD199*Datos!$C$2,"Error"))</f>
        <v/>
      </c>
      <c r="AI199" s="61" t="str">
        <f aca="false">IF($AH199="","",IFERROR($AH199*(1+$D199),"Error"))</f>
        <v/>
      </c>
      <c r="AJ199" s="60" t="str">
        <f aca="false">IF($AH199="","",IFERROR($C199/$AH199-1,"Error"))</f>
        <v/>
      </c>
      <c r="AK199" s="63" t="str">
        <f aca="false">IF($AH199="","",IFERROR(IF($C199&lt;=$AH199,"OK a ese precio","Bajar costo"),"Error"))</f>
        <v/>
      </c>
    </row>
    <row r="200" customFormat="false" ht="15" hidden="false" customHeight="false" outlineLevel="0" collapsed="false">
      <c r="E200" s="0" t="str">
        <f aca="false">IF($C200="","",$C200*(1+$D200))</f>
        <v/>
      </c>
      <c r="J200" s="57"/>
      <c r="K200" s="57"/>
      <c r="L200" s="58"/>
      <c r="M200" s="59"/>
      <c r="N200" s="59"/>
      <c r="O200" s="60" t="str">
        <f aca="false">IF($M200="","",IFERROR(IF($K200="Clásica",VLOOKUP("Argentina"&amp;$J200,Datos!$C:$D,2,0),VLOOKUP("Argentina"&amp;$J200,Datos!$C:$D,2,0)+VLOOKUP("Argentina"&amp;$K200,Datos!$H:$I,2,0)),"Error"))</f>
        <v/>
      </c>
      <c r="P200" s="61" t="str">
        <f aca="false">IF($M200="","",IFERROR(-$M200*$O200,"Error"))</f>
        <v/>
      </c>
      <c r="Q200" s="61" t="str">
        <f aca="false">IF($M200="","",IFERROR(-($P200-$P200/(1+Datos!$B$2)),"Error"))</f>
        <v/>
      </c>
      <c r="R200" s="61" t="str">
        <f aca="false">IF($M200="","",IF($M200&lt;=15000,-1000,IF($M200&lt;=25000,-2000,IF($M200&lt;=33000,-2400,0))))</f>
        <v/>
      </c>
      <c r="S200" s="61" t="str">
        <f aca="false">IF($M200="","",-($R200-$R200/(1+Datos!$B$2)))</f>
        <v/>
      </c>
      <c r="T200" s="61" t="str">
        <f aca="false">IF($M200="","",-$M200/(1+$L200)*$L200)</f>
        <v/>
      </c>
      <c r="U200" s="61" t="str">
        <f aca="false">IF($M200="","",$C200*$D200)</f>
        <v/>
      </c>
      <c r="V200" s="61" t="str">
        <f aca="false">IF($M200="","",-N($N200))</f>
        <v/>
      </c>
      <c r="W200" s="61" t="str">
        <f aca="false">IF($M200="","",-($V200-$V200/(1+Datos!$B$2)))</f>
        <v/>
      </c>
      <c r="X200" s="61" t="str">
        <f aca="false">IF($M200="","",-$M200*Datos!$C$2)</f>
        <v/>
      </c>
      <c r="Y200" s="61" t="str">
        <f aca="false">IF($M200="","",IFERROR($M200+$U200+$T200+$P200+$Q200+$R200+$S200+$V200+$W200+$X200,"Error"))</f>
        <v/>
      </c>
      <c r="Z200" s="61" t="str">
        <f aca="false">IF($M200="","",IFERROR($Y200-$E200,"Error"))</f>
        <v/>
      </c>
      <c r="AA200" s="60" t="str">
        <f aca="false">IF($M200="","",IFERROR($Z200/($M200+$T200),"Error"))</f>
        <v/>
      </c>
      <c r="AB200" s="62" t="str">
        <f aca="false">IF($M200="","",IFERROR($M200/$E200,"Error"))</f>
        <v/>
      </c>
      <c r="AD200" s="59"/>
      <c r="AE200" s="57"/>
      <c r="AF200" s="58"/>
      <c r="AG200" s="60" t="str">
        <f aca="false">IF(N($AD200)=0,"",IFERROR(($AD200/(1+$L200)-($AD200*$O200+IF($AD200&lt;=15000,1000,IF($AD200&lt;=25000,2000,IF($AD200&lt;=33000,2400,0)))+N($N200))/(1+Datos!$B$2)-$AD200*Datos!$C$2-$C200)/($AD200/(1+$L200)),"Error"))</f>
        <v/>
      </c>
      <c r="AH200" s="61" t="str">
        <f aca="false">IF(N($AD200)=0,"",IFERROR($AD200/(1+$L200)*(1-$AF200)-($AD200*$O200+IF($AD200&lt;=15000,1000,IF($AD200&lt;=25000,2000,IF($AD200&lt;=33000,2400,0)))+N($N200))/(1+Datos!$B$2)-$AD200*Datos!$C$2,"Error"))</f>
        <v/>
      </c>
      <c r="AI200" s="61" t="str">
        <f aca="false">IF($AH200="","",IFERROR($AH200*(1+$D200),"Error"))</f>
        <v/>
      </c>
      <c r="AJ200" s="60" t="str">
        <f aca="false">IF($AH200="","",IFERROR($C200/$AH200-1,"Error"))</f>
        <v/>
      </c>
      <c r="AK200" s="63" t="str">
        <f aca="false">IF($AH200="","",IFERROR(IF($C200&lt;=$AH200,"OK a ese precio","Bajar costo"),"Error"))</f>
        <v/>
      </c>
    </row>
    <row r="201" customFormat="false" ht="15" hidden="false" customHeight="false" outlineLevel="0" collapsed="false">
      <c r="E201" s="0" t="str">
        <f aca="false">IF($C201="","",$C201*(1+$D201))</f>
        <v/>
      </c>
      <c r="J201" s="57"/>
      <c r="K201" s="57"/>
      <c r="L201" s="58"/>
      <c r="M201" s="59"/>
      <c r="N201" s="59"/>
      <c r="O201" s="60" t="str">
        <f aca="false">IF($M201="","",IFERROR(IF($K201="Clásica",VLOOKUP("Argentina"&amp;$J201,Datos!$C:$D,2,0),VLOOKUP("Argentina"&amp;$J201,Datos!$C:$D,2,0)+VLOOKUP("Argentina"&amp;$K201,Datos!$H:$I,2,0)),"Error"))</f>
        <v/>
      </c>
      <c r="P201" s="61" t="str">
        <f aca="false">IF($M201="","",IFERROR(-$M201*$O201,"Error"))</f>
        <v/>
      </c>
      <c r="Q201" s="61" t="str">
        <f aca="false">IF($M201="","",IFERROR(-($P201-$P201/(1+Datos!$B$2)),"Error"))</f>
        <v/>
      </c>
      <c r="R201" s="61" t="str">
        <f aca="false">IF($M201="","",IF($M201&lt;=15000,-1000,IF($M201&lt;=25000,-2000,IF($M201&lt;=33000,-2400,0))))</f>
        <v/>
      </c>
      <c r="S201" s="61" t="str">
        <f aca="false">IF($M201="","",-($R201-$R201/(1+Datos!$B$2)))</f>
        <v/>
      </c>
      <c r="T201" s="61" t="str">
        <f aca="false">IF($M201="","",-$M201/(1+$L201)*$L201)</f>
        <v/>
      </c>
      <c r="U201" s="61" t="str">
        <f aca="false">IF($M201="","",$C201*$D201)</f>
        <v/>
      </c>
      <c r="V201" s="61" t="str">
        <f aca="false">IF($M201="","",-N($N201))</f>
        <v/>
      </c>
      <c r="W201" s="61" t="str">
        <f aca="false">IF($M201="","",-($V201-$V201/(1+Datos!$B$2)))</f>
        <v/>
      </c>
      <c r="X201" s="61" t="str">
        <f aca="false">IF($M201="","",-$M201*Datos!$C$2)</f>
        <v/>
      </c>
      <c r="Y201" s="61" t="str">
        <f aca="false">IF($M201="","",IFERROR($M201+$U201+$T201+$P201+$Q201+$R201+$S201+$V201+$W201+$X201,"Error"))</f>
        <v/>
      </c>
      <c r="Z201" s="61" t="str">
        <f aca="false">IF($M201="","",IFERROR($Y201-$E201,"Error"))</f>
        <v/>
      </c>
      <c r="AA201" s="60" t="str">
        <f aca="false">IF($M201="","",IFERROR($Z201/($M201+$T201),"Error"))</f>
        <v/>
      </c>
      <c r="AB201" s="62" t="str">
        <f aca="false">IF($M201="","",IFERROR($M201/$E201,"Error"))</f>
        <v/>
      </c>
      <c r="AD201" s="59"/>
      <c r="AE201" s="57"/>
      <c r="AF201" s="58"/>
      <c r="AG201" s="60" t="str">
        <f aca="false">IF(N($AD201)=0,"",IFERROR(($AD201/(1+$L201)-($AD201*$O201+IF($AD201&lt;=15000,1000,IF($AD201&lt;=25000,2000,IF($AD201&lt;=33000,2400,0)))+N($N201))/(1+Datos!$B$2)-$AD201*Datos!$C$2-$C201)/($AD201/(1+$L201)),"Error"))</f>
        <v/>
      </c>
      <c r="AH201" s="61" t="str">
        <f aca="false">IF(N($AD201)=0,"",IFERROR($AD201/(1+$L201)*(1-$AF201)-($AD201*$O201+IF($AD201&lt;=15000,1000,IF($AD201&lt;=25000,2000,IF($AD201&lt;=33000,2400,0)))+N($N201))/(1+Datos!$B$2)-$AD201*Datos!$C$2,"Error"))</f>
        <v/>
      </c>
      <c r="AI201" s="61" t="str">
        <f aca="false">IF($AH201="","",IFERROR($AH201*(1+$D201),"Error"))</f>
        <v/>
      </c>
      <c r="AJ201" s="60" t="str">
        <f aca="false">IF($AH201="","",IFERROR($C201/$AH201-1,"Error"))</f>
        <v/>
      </c>
      <c r="AK201" s="63" t="str">
        <f aca="false">IF($AH201="","",IFERROR(IF($C201&lt;=$AH201,"OK a ese precio","Bajar costo"),"Error"))</f>
        <v/>
      </c>
    </row>
    <row r="202" customFormat="false" ht="15" hidden="false" customHeight="false" outlineLevel="0" collapsed="false">
      <c r="E202" s="0" t="str">
        <f aca="false">IF($C202="","",$C202*(1+$D202))</f>
        <v/>
      </c>
      <c r="J202" s="57"/>
      <c r="K202" s="57"/>
      <c r="L202" s="58"/>
      <c r="M202" s="59"/>
      <c r="N202" s="59"/>
      <c r="O202" s="60" t="str">
        <f aca="false">IF($M202="","",IFERROR(IF($K202="Clásica",VLOOKUP("Argentina"&amp;$J202,Datos!$C:$D,2,0),VLOOKUP("Argentina"&amp;$J202,Datos!$C:$D,2,0)+VLOOKUP("Argentina"&amp;$K202,Datos!$H:$I,2,0)),"Error"))</f>
        <v/>
      </c>
      <c r="P202" s="61" t="str">
        <f aca="false">IF($M202="","",IFERROR(-$M202*$O202,"Error"))</f>
        <v/>
      </c>
      <c r="Q202" s="61" t="str">
        <f aca="false">IF($M202="","",IFERROR(-($P202-$P202/(1+Datos!$B$2)),"Error"))</f>
        <v/>
      </c>
      <c r="R202" s="61" t="str">
        <f aca="false">IF($M202="","",IF($M202&lt;=15000,-1000,IF($M202&lt;=25000,-2000,IF($M202&lt;=33000,-2400,0))))</f>
        <v/>
      </c>
      <c r="S202" s="61" t="str">
        <f aca="false">IF($M202="","",-($R202-$R202/(1+Datos!$B$2)))</f>
        <v/>
      </c>
      <c r="T202" s="61" t="str">
        <f aca="false">IF($M202="","",-$M202/(1+$L202)*$L202)</f>
        <v/>
      </c>
      <c r="U202" s="61" t="str">
        <f aca="false">IF($M202="","",$C202*$D202)</f>
        <v/>
      </c>
      <c r="V202" s="61" t="str">
        <f aca="false">IF($M202="","",-N($N202))</f>
        <v/>
      </c>
      <c r="W202" s="61" t="str">
        <f aca="false">IF($M202="","",-($V202-$V202/(1+Datos!$B$2)))</f>
        <v/>
      </c>
      <c r="X202" s="61" t="str">
        <f aca="false">IF($M202="","",-$M202*Datos!$C$2)</f>
        <v/>
      </c>
      <c r="Y202" s="61" t="str">
        <f aca="false">IF($M202="","",IFERROR($M202+$U202+$T202+$P202+$Q202+$R202+$S202+$V202+$W202+$X202,"Error"))</f>
        <v/>
      </c>
      <c r="Z202" s="61" t="str">
        <f aca="false">IF($M202="","",IFERROR($Y202-$E202,"Error"))</f>
        <v/>
      </c>
      <c r="AA202" s="60" t="str">
        <f aca="false">IF($M202="","",IFERROR($Z202/($M202+$T202),"Error"))</f>
        <v/>
      </c>
      <c r="AB202" s="62" t="str">
        <f aca="false">IF($M202="","",IFERROR($M202/$E202,"Error"))</f>
        <v/>
      </c>
      <c r="AD202" s="59"/>
      <c r="AE202" s="57"/>
      <c r="AF202" s="58"/>
      <c r="AG202" s="60" t="str">
        <f aca="false">IF(N($AD202)=0,"",IFERROR(($AD202/(1+$L202)-($AD202*$O202+IF($AD202&lt;=15000,1000,IF($AD202&lt;=25000,2000,IF($AD202&lt;=33000,2400,0)))+N($N202))/(1+Datos!$B$2)-$AD202*Datos!$C$2-$C202)/($AD202/(1+$L202)),"Error"))</f>
        <v/>
      </c>
      <c r="AH202" s="61" t="str">
        <f aca="false">IF(N($AD202)=0,"",IFERROR($AD202/(1+$L202)*(1-$AF202)-($AD202*$O202+IF($AD202&lt;=15000,1000,IF($AD202&lt;=25000,2000,IF($AD202&lt;=33000,2400,0)))+N($N202))/(1+Datos!$B$2)-$AD202*Datos!$C$2,"Error"))</f>
        <v/>
      </c>
      <c r="AI202" s="61" t="str">
        <f aca="false">IF($AH202="","",IFERROR($AH202*(1+$D202),"Error"))</f>
        <v/>
      </c>
      <c r="AJ202" s="60" t="str">
        <f aca="false">IF($AH202="","",IFERROR($C202/$AH202-1,"Error"))</f>
        <v/>
      </c>
      <c r="AK202" s="63" t="str">
        <f aca="false">IF($AH202="","",IFERROR(IF($C202&lt;=$AH202,"OK a ese precio","Bajar costo"),"Error"))</f>
        <v/>
      </c>
    </row>
    <row r="203" customFormat="false" ht="15" hidden="false" customHeight="false" outlineLevel="0" collapsed="false">
      <c r="E203" s="0" t="str">
        <f aca="false">IF($C203="","",$C203*(1+$D203))</f>
        <v/>
      </c>
      <c r="J203" s="57"/>
      <c r="K203" s="57"/>
      <c r="L203" s="58"/>
      <c r="M203" s="59"/>
      <c r="N203" s="59"/>
      <c r="O203" s="60" t="str">
        <f aca="false">IF($M203="","",IFERROR(IF($K203="Clásica",VLOOKUP("Argentina"&amp;$J203,Datos!$C:$D,2,0),VLOOKUP("Argentina"&amp;$J203,Datos!$C:$D,2,0)+VLOOKUP("Argentina"&amp;$K203,Datos!$H:$I,2,0)),"Error"))</f>
        <v/>
      </c>
      <c r="P203" s="61" t="str">
        <f aca="false">IF($M203="","",IFERROR(-$M203*$O203,"Error"))</f>
        <v/>
      </c>
      <c r="Q203" s="61" t="str">
        <f aca="false">IF($M203="","",IFERROR(-($P203-$P203/(1+Datos!$B$2)),"Error"))</f>
        <v/>
      </c>
      <c r="R203" s="61" t="str">
        <f aca="false">IF($M203="","",IF($M203&lt;=15000,-1000,IF($M203&lt;=25000,-2000,IF($M203&lt;=33000,-2400,0))))</f>
        <v/>
      </c>
      <c r="S203" s="61" t="str">
        <f aca="false">IF($M203="","",-($R203-$R203/(1+Datos!$B$2)))</f>
        <v/>
      </c>
      <c r="T203" s="61" t="str">
        <f aca="false">IF($M203="","",-$M203/(1+$L203)*$L203)</f>
        <v/>
      </c>
      <c r="U203" s="61" t="str">
        <f aca="false">IF($M203="","",$C203*$D203)</f>
        <v/>
      </c>
      <c r="V203" s="61" t="str">
        <f aca="false">IF($M203="","",-N($N203))</f>
        <v/>
      </c>
      <c r="W203" s="61" t="str">
        <f aca="false">IF($M203="","",-($V203-$V203/(1+Datos!$B$2)))</f>
        <v/>
      </c>
      <c r="X203" s="61" t="str">
        <f aca="false">IF($M203="","",-$M203*Datos!$C$2)</f>
        <v/>
      </c>
      <c r="Y203" s="61" t="str">
        <f aca="false">IF($M203="","",IFERROR($M203+$U203+$T203+$P203+$Q203+$R203+$S203+$V203+$W203+$X203,"Error"))</f>
        <v/>
      </c>
      <c r="Z203" s="61" t="str">
        <f aca="false">IF($M203="","",IFERROR($Y203-$E203,"Error"))</f>
        <v/>
      </c>
      <c r="AA203" s="60" t="str">
        <f aca="false">IF($M203="","",IFERROR($Z203/($M203+$T203),"Error"))</f>
        <v/>
      </c>
      <c r="AB203" s="62" t="str">
        <f aca="false">IF($M203="","",IFERROR($M203/$E203,"Error"))</f>
        <v/>
      </c>
      <c r="AD203" s="59"/>
      <c r="AE203" s="57"/>
      <c r="AF203" s="58"/>
      <c r="AG203" s="60" t="str">
        <f aca="false">IF(N($AD203)=0,"",IFERROR(($AD203/(1+$L203)-($AD203*$O203+IF($AD203&lt;=15000,1000,IF($AD203&lt;=25000,2000,IF($AD203&lt;=33000,2400,0)))+N($N203))/(1+Datos!$B$2)-$AD203*Datos!$C$2-$C203)/($AD203/(1+$L203)),"Error"))</f>
        <v/>
      </c>
      <c r="AH203" s="61" t="str">
        <f aca="false">IF(N($AD203)=0,"",IFERROR($AD203/(1+$L203)*(1-$AF203)-($AD203*$O203+IF($AD203&lt;=15000,1000,IF($AD203&lt;=25000,2000,IF($AD203&lt;=33000,2400,0)))+N($N203))/(1+Datos!$B$2)-$AD203*Datos!$C$2,"Error"))</f>
        <v/>
      </c>
      <c r="AI203" s="61" t="str">
        <f aca="false">IF($AH203="","",IFERROR($AH203*(1+$D203),"Error"))</f>
        <v/>
      </c>
      <c r="AJ203" s="60" t="str">
        <f aca="false">IF($AH203="","",IFERROR($C203/$AH203-1,"Error"))</f>
        <v/>
      </c>
      <c r="AK203" s="63" t="str">
        <f aca="false">IF($AH203="","",IFERROR(IF($C203&lt;=$AH203,"OK a ese precio","Bajar costo"),"Error"))</f>
        <v/>
      </c>
    </row>
    <row r="204" customFormat="false" ht="15" hidden="false" customHeight="false" outlineLevel="0" collapsed="false">
      <c r="E204" s="0" t="str">
        <f aca="false">IF($C204="","",$C204*(1+$D204))</f>
        <v/>
      </c>
      <c r="J204" s="57"/>
      <c r="K204" s="57"/>
      <c r="L204" s="58"/>
      <c r="M204" s="59"/>
      <c r="N204" s="59"/>
      <c r="O204" s="60" t="str">
        <f aca="false">IF($M204="","",IFERROR(IF($K204="Clásica",VLOOKUP("Argentina"&amp;$J204,Datos!$C:$D,2,0),VLOOKUP("Argentina"&amp;$J204,Datos!$C:$D,2,0)+VLOOKUP("Argentina"&amp;$K204,Datos!$H:$I,2,0)),"Error"))</f>
        <v/>
      </c>
      <c r="P204" s="61" t="str">
        <f aca="false">IF($M204="","",IFERROR(-$M204*$O204,"Error"))</f>
        <v/>
      </c>
      <c r="Q204" s="61" t="str">
        <f aca="false">IF($M204="","",IFERROR(-($P204-$P204/(1+Datos!$B$2)),"Error"))</f>
        <v/>
      </c>
      <c r="R204" s="61" t="str">
        <f aca="false">IF($M204="","",IF($M204&lt;=15000,-1000,IF($M204&lt;=25000,-2000,IF($M204&lt;=33000,-2400,0))))</f>
        <v/>
      </c>
      <c r="S204" s="61" t="str">
        <f aca="false">IF($M204="","",-($R204-$R204/(1+Datos!$B$2)))</f>
        <v/>
      </c>
      <c r="T204" s="61" t="str">
        <f aca="false">IF($M204="","",-$M204/(1+$L204)*$L204)</f>
        <v/>
      </c>
      <c r="U204" s="61" t="str">
        <f aca="false">IF($M204="","",$C204*$D204)</f>
        <v/>
      </c>
      <c r="V204" s="61" t="str">
        <f aca="false">IF($M204="","",-N($N204))</f>
        <v/>
      </c>
      <c r="W204" s="61" t="str">
        <f aca="false">IF($M204="","",-($V204-$V204/(1+Datos!$B$2)))</f>
        <v/>
      </c>
      <c r="X204" s="61" t="str">
        <f aca="false">IF($M204="","",-$M204*Datos!$C$2)</f>
        <v/>
      </c>
      <c r="Y204" s="61" t="str">
        <f aca="false">IF($M204="","",IFERROR($M204+$U204+$T204+$P204+$Q204+$R204+$S204+$V204+$W204+$X204,"Error"))</f>
        <v/>
      </c>
      <c r="Z204" s="61" t="str">
        <f aca="false">IF($M204="","",IFERROR($Y204-$E204,"Error"))</f>
        <v/>
      </c>
      <c r="AA204" s="60" t="str">
        <f aca="false">IF($M204="","",IFERROR($Z204/($M204+$T204),"Error"))</f>
        <v/>
      </c>
      <c r="AB204" s="62" t="str">
        <f aca="false">IF($M204="","",IFERROR($M204/$E204,"Error"))</f>
        <v/>
      </c>
      <c r="AD204" s="59"/>
      <c r="AE204" s="57"/>
      <c r="AF204" s="58"/>
      <c r="AG204" s="60" t="str">
        <f aca="false">IF(N($AD204)=0,"",IFERROR(($AD204/(1+$L204)-($AD204*$O204+IF($AD204&lt;=15000,1000,IF($AD204&lt;=25000,2000,IF($AD204&lt;=33000,2400,0)))+N($N204))/(1+Datos!$B$2)-$AD204*Datos!$C$2-$C204)/($AD204/(1+$L204)),"Error"))</f>
        <v/>
      </c>
      <c r="AH204" s="61" t="str">
        <f aca="false">IF(N($AD204)=0,"",IFERROR($AD204/(1+$L204)*(1-$AF204)-($AD204*$O204+IF($AD204&lt;=15000,1000,IF($AD204&lt;=25000,2000,IF($AD204&lt;=33000,2400,0)))+N($N204))/(1+Datos!$B$2)-$AD204*Datos!$C$2,"Error"))</f>
        <v/>
      </c>
      <c r="AI204" s="61" t="str">
        <f aca="false">IF($AH204="","",IFERROR($AH204*(1+$D204),"Error"))</f>
        <v/>
      </c>
      <c r="AJ204" s="60" t="str">
        <f aca="false">IF($AH204="","",IFERROR($C204/$AH204-1,"Error"))</f>
        <v/>
      </c>
      <c r="AK204" s="63" t="str">
        <f aca="false">IF($AH204="","",IFERROR(IF($C204&lt;=$AH204,"OK a ese precio","Bajar costo"),"Error"))</f>
        <v/>
      </c>
    </row>
    <row r="205" customFormat="false" ht="15" hidden="false" customHeight="false" outlineLevel="0" collapsed="false">
      <c r="E205" s="0" t="str">
        <f aca="false">IF($C205="","",$C205*(1+$D205))</f>
        <v/>
      </c>
      <c r="J205" s="57"/>
      <c r="K205" s="57"/>
      <c r="L205" s="58"/>
      <c r="M205" s="59"/>
      <c r="N205" s="59"/>
      <c r="O205" s="60" t="str">
        <f aca="false">IF($M205="","",IFERROR(IF($K205="Clásica",VLOOKUP("Argentina"&amp;$J205,Datos!$C:$D,2,0),VLOOKUP("Argentina"&amp;$J205,Datos!$C:$D,2,0)+VLOOKUP("Argentina"&amp;$K205,Datos!$H:$I,2,0)),"Error"))</f>
        <v/>
      </c>
      <c r="P205" s="61" t="str">
        <f aca="false">IF($M205="","",IFERROR(-$M205*$O205,"Error"))</f>
        <v/>
      </c>
      <c r="Q205" s="61" t="str">
        <f aca="false">IF($M205="","",IFERROR(-($P205-$P205/(1+Datos!$B$2)),"Error"))</f>
        <v/>
      </c>
      <c r="R205" s="61" t="str">
        <f aca="false">IF($M205="","",IF($M205&lt;=15000,-1000,IF($M205&lt;=25000,-2000,IF($M205&lt;=33000,-2400,0))))</f>
        <v/>
      </c>
      <c r="S205" s="61" t="str">
        <f aca="false">IF($M205="","",-($R205-$R205/(1+Datos!$B$2)))</f>
        <v/>
      </c>
      <c r="T205" s="61" t="str">
        <f aca="false">IF($M205="","",-$M205/(1+$L205)*$L205)</f>
        <v/>
      </c>
      <c r="U205" s="61" t="str">
        <f aca="false">IF($M205="","",$C205*$D205)</f>
        <v/>
      </c>
      <c r="V205" s="61" t="str">
        <f aca="false">IF($M205="","",-N($N205))</f>
        <v/>
      </c>
      <c r="W205" s="61" t="str">
        <f aca="false">IF($M205="","",-($V205-$V205/(1+Datos!$B$2)))</f>
        <v/>
      </c>
      <c r="X205" s="61" t="str">
        <f aca="false">IF($M205="","",-$M205*Datos!$C$2)</f>
        <v/>
      </c>
      <c r="Y205" s="61" t="str">
        <f aca="false">IF($M205="","",IFERROR($M205+$U205+$T205+$P205+$Q205+$R205+$S205+$V205+$W205+$X205,"Error"))</f>
        <v/>
      </c>
      <c r="Z205" s="61" t="str">
        <f aca="false">IF($M205="","",IFERROR($Y205-$E205,"Error"))</f>
        <v/>
      </c>
      <c r="AA205" s="60" t="str">
        <f aca="false">IF($M205="","",IFERROR($Z205/($M205+$T205),"Error"))</f>
        <v/>
      </c>
      <c r="AB205" s="62" t="str">
        <f aca="false">IF($M205="","",IFERROR($M205/$E205,"Error"))</f>
        <v/>
      </c>
      <c r="AD205" s="59"/>
      <c r="AE205" s="57"/>
      <c r="AF205" s="58"/>
      <c r="AG205" s="60" t="str">
        <f aca="false">IF(N($AD205)=0,"",IFERROR(($AD205/(1+$L205)-($AD205*$O205+IF($AD205&lt;=15000,1000,IF($AD205&lt;=25000,2000,IF($AD205&lt;=33000,2400,0)))+N($N205))/(1+Datos!$B$2)-$AD205*Datos!$C$2-$C205)/($AD205/(1+$L205)),"Error"))</f>
        <v/>
      </c>
      <c r="AH205" s="61" t="str">
        <f aca="false">IF(N($AD205)=0,"",IFERROR($AD205/(1+$L205)*(1-$AF205)-($AD205*$O205+IF($AD205&lt;=15000,1000,IF($AD205&lt;=25000,2000,IF($AD205&lt;=33000,2400,0)))+N($N205))/(1+Datos!$B$2)-$AD205*Datos!$C$2,"Error"))</f>
        <v/>
      </c>
      <c r="AI205" s="61" t="str">
        <f aca="false">IF($AH205="","",IFERROR($AH205*(1+$D205),"Error"))</f>
        <v/>
      </c>
      <c r="AJ205" s="60" t="str">
        <f aca="false">IF($AH205="","",IFERROR($C205/$AH205-1,"Error"))</f>
        <v/>
      </c>
      <c r="AK205" s="63" t="str">
        <f aca="false">IF($AH205="","",IFERROR(IF($C205&lt;=$AH205,"OK a ese precio","Bajar costo"),"Error"))</f>
        <v/>
      </c>
    </row>
    <row r="206" customFormat="false" ht="15" hidden="false" customHeight="false" outlineLevel="0" collapsed="false">
      <c r="E206" s="0" t="str">
        <f aca="false">IF($C206="","",$C206*(1+$D206))</f>
        <v/>
      </c>
      <c r="J206" s="57"/>
      <c r="K206" s="57"/>
      <c r="L206" s="58"/>
      <c r="M206" s="59"/>
      <c r="N206" s="59"/>
      <c r="O206" s="60" t="str">
        <f aca="false">IF($M206="","",IFERROR(IF($K206="Clásica",VLOOKUP("Argentina"&amp;$J206,Datos!$C:$D,2,0),VLOOKUP("Argentina"&amp;$J206,Datos!$C:$D,2,0)+VLOOKUP("Argentina"&amp;$K206,Datos!$H:$I,2,0)),"Error"))</f>
        <v/>
      </c>
      <c r="P206" s="61" t="str">
        <f aca="false">IF($M206="","",IFERROR(-$M206*$O206,"Error"))</f>
        <v/>
      </c>
      <c r="Q206" s="61" t="str">
        <f aca="false">IF($M206="","",IFERROR(-($P206-$P206/(1+Datos!$B$2)),"Error"))</f>
        <v/>
      </c>
      <c r="R206" s="61" t="str">
        <f aca="false">IF($M206="","",IF($M206&lt;=15000,-1000,IF($M206&lt;=25000,-2000,IF($M206&lt;=33000,-2400,0))))</f>
        <v/>
      </c>
      <c r="S206" s="61" t="str">
        <f aca="false">IF($M206="","",-($R206-$R206/(1+Datos!$B$2)))</f>
        <v/>
      </c>
      <c r="T206" s="61" t="str">
        <f aca="false">IF($M206="","",-$M206/(1+$L206)*$L206)</f>
        <v/>
      </c>
      <c r="U206" s="61" t="str">
        <f aca="false">IF($M206="","",$C206*$D206)</f>
        <v/>
      </c>
      <c r="V206" s="61" t="str">
        <f aca="false">IF($M206="","",-N($N206))</f>
        <v/>
      </c>
      <c r="W206" s="61" t="str">
        <f aca="false">IF($M206="","",-($V206-$V206/(1+Datos!$B$2)))</f>
        <v/>
      </c>
      <c r="X206" s="61" t="str">
        <f aca="false">IF($M206="","",-$M206*Datos!$C$2)</f>
        <v/>
      </c>
      <c r="Y206" s="61" t="str">
        <f aca="false">IF($M206="","",IFERROR($M206+$U206+$T206+$P206+$Q206+$R206+$S206+$V206+$W206+$X206,"Error"))</f>
        <v/>
      </c>
      <c r="Z206" s="61" t="str">
        <f aca="false">IF($M206="","",IFERROR($Y206-$E206,"Error"))</f>
        <v/>
      </c>
      <c r="AA206" s="60" t="str">
        <f aca="false">IF($M206="","",IFERROR($Z206/($M206+$T206),"Error"))</f>
        <v/>
      </c>
      <c r="AB206" s="62" t="str">
        <f aca="false">IF($M206="","",IFERROR($M206/$E206,"Error"))</f>
        <v/>
      </c>
      <c r="AD206" s="59"/>
      <c r="AE206" s="57"/>
      <c r="AF206" s="58"/>
      <c r="AG206" s="60" t="str">
        <f aca="false">IF(N($AD206)=0,"",IFERROR(($AD206/(1+$L206)-($AD206*$O206+IF($AD206&lt;=15000,1000,IF($AD206&lt;=25000,2000,IF($AD206&lt;=33000,2400,0)))+N($N206))/(1+Datos!$B$2)-$AD206*Datos!$C$2-$C206)/($AD206/(1+$L206)),"Error"))</f>
        <v/>
      </c>
      <c r="AH206" s="61" t="str">
        <f aca="false">IF(N($AD206)=0,"",IFERROR($AD206/(1+$L206)*(1-$AF206)-($AD206*$O206+IF($AD206&lt;=15000,1000,IF($AD206&lt;=25000,2000,IF($AD206&lt;=33000,2400,0)))+N($N206))/(1+Datos!$B$2)-$AD206*Datos!$C$2,"Error"))</f>
        <v/>
      </c>
      <c r="AI206" s="61" t="str">
        <f aca="false">IF($AH206="","",IFERROR($AH206*(1+$D206),"Error"))</f>
        <v/>
      </c>
      <c r="AJ206" s="60" t="str">
        <f aca="false">IF($AH206="","",IFERROR($C206/$AH206-1,"Error"))</f>
        <v/>
      </c>
      <c r="AK206" s="63" t="str">
        <f aca="false">IF($AH206="","",IFERROR(IF($C206&lt;=$AH206,"OK a ese precio","Bajar costo"),"Error"))</f>
        <v/>
      </c>
    </row>
    <row r="207" customFormat="false" ht="15" hidden="false" customHeight="false" outlineLevel="0" collapsed="false">
      <c r="E207" s="0" t="str">
        <f aca="false">IF($C207="","",$C207*(1+$D207))</f>
        <v/>
      </c>
      <c r="J207" s="57"/>
      <c r="K207" s="57"/>
      <c r="L207" s="58"/>
      <c r="M207" s="59"/>
      <c r="N207" s="59"/>
      <c r="O207" s="60" t="str">
        <f aca="false">IF($M207="","",IFERROR(IF($K207="Clásica",VLOOKUP("Argentina"&amp;$J207,Datos!$C:$D,2,0),VLOOKUP("Argentina"&amp;$J207,Datos!$C:$D,2,0)+VLOOKUP("Argentina"&amp;$K207,Datos!$H:$I,2,0)),"Error"))</f>
        <v/>
      </c>
      <c r="P207" s="61" t="str">
        <f aca="false">IF($M207="","",IFERROR(-$M207*$O207,"Error"))</f>
        <v/>
      </c>
      <c r="Q207" s="61" t="str">
        <f aca="false">IF($M207="","",IFERROR(-($P207-$P207/(1+Datos!$B$2)),"Error"))</f>
        <v/>
      </c>
      <c r="R207" s="61" t="str">
        <f aca="false">IF($M207="","",IF($M207&lt;=15000,-1000,IF($M207&lt;=25000,-2000,IF($M207&lt;=33000,-2400,0))))</f>
        <v/>
      </c>
      <c r="S207" s="61" t="str">
        <f aca="false">IF($M207="","",-($R207-$R207/(1+Datos!$B$2)))</f>
        <v/>
      </c>
      <c r="T207" s="61" t="str">
        <f aca="false">IF($M207="","",-$M207/(1+$L207)*$L207)</f>
        <v/>
      </c>
      <c r="U207" s="61" t="str">
        <f aca="false">IF($M207="","",$C207*$D207)</f>
        <v/>
      </c>
      <c r="V207" s="61" t="str">
        <f aca="false">IF($M207="","",-N($N207))</f>
        <v/>
      </c>
      <c r="W207" s="61" t="str">
        <f aca="false">IF($M207="","",-($V207-$V207/(1+Datos!$B$2)))</f>
        <v/>
      </c>
      <c r="X207" s="61" t="str">
        <f aca="false">IF($M207="","",-$M207*Datos!$C$2)</f>
        <v/>
      </c>
      <c r="Y207" s="61" t="str">
        <f aca="false">IF($M207="","",IFERROR($M207+$U207+$T207+$P207+$Q207+$R207+$S207+$V207+$W207+$X207,"Error"))</f>
        <v/>
      </c>
      <c r="Z207" s="61" t="str">
        <f aca="false">IF($M207="","",IFERROR($Y207-$E207,"Error"))</f>
        <v/>
      </c>
      <c r="AA207" s="60" t="str">
        <f aca="false">IF($M207="","",IFERROR($Z207/($M207+$T207),"Error"))</f>
        <v/>
      </c>
      <c r="AB207" s="62" t="str">
        <f aca="false">IF($M207="","",IFERROR($M207/$E207,"Error"))</f>
        <v/>
      </c>
      <c r="AD207" s="59"/>
      <c r="AE207" s="57"/>
      <c r="AF207" s="58"/>
      <c r="AG207" s="60" t="str">
        <f aca="false">IF(N($AD207)=0,"",IFERROR(($AD207/(1+$L207)-($AD207*$O207+IF($AD207&lt;=15000,1000,IF($AD207&lt;=25000,2000,IF($AD207&lt;=33000,2400,0)))+N($N207))/(1+Datos!$B$2)-$AD207*Datos!$C$2-$C207)/($AD207/(1+$L207)),"Error"))</f>
        <v/>
      </c>
      <c r="AH207" s="61" t="str">
        <f aca="false">IF(N($AD207)=0,"",IFERROR($AD207/(1+$L207)*(1-$AF207)-($AD207*$O207+IF($AD207&lt;=15000,1000,IF($AD207&lt;=25000,2000,IF($AD207&lt;=33000,2400,0)))+N($N207))/(1+Datos!$B$2)-$AD207*Datos!$C$2,"Error"))</f>
        <v/>
      </c>
      <c r="AI207" s="61" t="str">
        <f aca="false">IF($AH207="","",IFERROR($AH207*(1+$D207),"Error"))</f>
        <v/>
      </c>
      <c r="AJ207" s="60" t="str">
        <f aca="false">IF($AH207="","",IFERROR($C207/$AH207-1,"Error"))</f>
        <v/>
      </c>
      <c r="AK207" s="63" t="str">
        <f aca="false">IF($AH207="","",IFERROR(IF($C207&lt;=$AH207,"OK a ese precio","Bajar costo"),"Error"))</f>
        <v/>
      </c>
    </row>
    <row r="208" customFormat="false" ht="15" hidden="false" customHeight="false" outlineLevel="0" collapsed="false">
      <c r="E208" s="0" t="str">
        <f aca="false">IF($C208="","",$C208*(1+$D208))</f>
        <v/>
      </c>
      <c r="J208" s="57"/>
      <c r="K208" s="57"/>
      <c r="L208" s="58"/>
      <c r="M208" s="59"/>
      <c r="N208" s="59"/>
      <c r="O208" s="60" t="str">
        <f aca="false">IF($M208="","",IFERROR(IF($K208="Clásica",VLOOKUP("Argentina"&amp;$J208,Datos!$C:$D,2,0),VLOOKUP("Argentina"&amp;$J208,Datos!$C:$D,2,0)+VLOOKUP("Argentina"&amp;$K208,Datos!$H:$I,2,0)),"Error"))</f>
        <v/>
      </c>
      <c r="P208" s="61" t="str">
        <f aca="false">IF($M208="","",IFERROR(-$M208*$O208,"Error"))</f>
        <v/>
      </c>
      <c r="Q208" s="61" t="str">
        <f aca="false">IF($M208="","",IFERROR(-($P208-$P208/(1+Datos!$B$2)),"Error"))</f>
        <v/>
      </c>
      <c r="R208" s="61" t="str">
        <f aca="false">IF($M208="","",IF($M208&lt;=15000,-1000,IF($M208&lt;=25000,-2000,IF($M208&lt;=33000,-2400,0))))</f>
        <v/>
      </c>
      <c r="S208" s="61" t="str">
        <f aca="false">IF($M208="","",-($R208-$R208/(1+Datos!$B$2)))</f>
        <v/>
      </c>
      <c r="T208" s="61" t="str">
        <f aca="false">IF($M208="","",-$M208/(1+$L208)*$L208)</f>
        <v/>
      </c>
      <c r="U208" s="61" t="str">
        <f aca="false">IF($M208="","",$C208*$D208)</f>
        <v/>
      </c>
      <c r="V208" s="61" t="str">
        <f aca="false">IF($M208="","",-N($N208))</f>
        <v/>
      </c>
      <c r="W208" s="61" t="str">
        <f aca="false">IF($M208="","",-($V208-$V208/(1+Datos!$B$2)))</f>
        <v/>
      </c>
      <c r="X208" s="61" t="str">
        <f aca="false">IF($M208="","",-$M208*Datos!$C$2)</f>
        <v/>
      </c>
      <c r="Y208" s="61" t="str">
        <f aca="false">IF($M208="","",IFERROR($M208+$U208+$T208+$P208+$Q208+$R208+$S208+$V208+$W208+$X208,"Error"))</f>
        <v/>
      </c>
      <c r="Z208" s="61" t="str">
        <f aca="false">IF($M208="","",IFERROR($Y208-$E208,"Error"))</f>
        <v/>
      </c>
      <c r="AA208" s="60" t="str">
        <f aca="false">IF($M208="","",IFERROR($Z208/($M208+$T208),"Error"))</f>
        <v/>
      </c>
      <c r="AB208" s="62" t="str">
        <f aca="false">IF($M208="","",IFERROR($M208/$E208,"Error"))</f>
        <v/>
      </c>
      <c r="AD208" s="59"/>
      <c r="AE208" s="57"/>
      <c r="AF208" s="58"/>
      <c r="AG208" s="60" t="str">
        <f aca="false">IF(N($AD208)=0,"",IFERROR(($AD208/(1+$L208)-($AD208*$O208+IF($AD208&lt;=15000,1000,IF($AD208&lt;=25000,2000,IF($AD208&lt;=33000,2400,0)))+N($N208))/(1+Datos!$B$2)-$AD208*Datos!$C$2-$C208)/($AD208/(1+$L208)),"Error"))</f>
        <v/>
      </c>
      <c r="AH208" s="61" t="str">
        <f aca="false">IF(N($AD208)=0,"",IFERROR($AD208/(1+$L208)*(1-$AF208)-($AD208*$O208+IF($AD208&lt;=15000,1000,IF($AD208&lt;=25000,2000,IF($AD208&lt;=33000,2400,0)))+N($N208))/(1+Datos!$B$2)-$AD208*Datos!$C$2,"Error"))</f>
        <v/>
      </c>
      <c r="AI208" s="61" t="str">
        <f aca="false">IF($AH208="","",IFERROR($AH208*(1+$D208),"Error"))</f>
        <v/>
      </c>
      <c r="AJ208" s="60" t="str">
        <f aca="false">IF($AH208="","",IFERROR($C208/$AH208-1,"Error"))</f>
        <v/>
      </c>
      <c r="AK208" s="63" t="str">
        <f aca="false">IF($AH208="","",IFERROR(IF($C208&lt;=$AH208,"OK a ese precio","Bajar costo"),"Error"))</f>
        <v/>
      </c>
    </row>
    <row r="209" customFormat="false" ht="15" hidden="false" customHeight="false" outlineLevel="0" collapsed="false">
      <c r="E209" s="0" t="str">
        <f aca="false">IF($C209="","",$C209*(1+$D209))</f>
        <v/>
      </c>
      <c r="J209" s="57"/>
      <c r="K209" s="57"/>
      <c r="L209" s="58"/>
      <c r="M209" s="59"/>
      <c r="N209" s="59"/>
      <c r="O209" s="60" t="str">
        <f aca="false">IF($M209="","",IFERROR(IF($K209="Clásica",VLOOKUP("Argentina"&amp;$J209,Datos!$C:$D,2,0),VLOOKUP("Argentina"&amp;$J209,Datos!$C:$D,2,0)+VLOOKUP("Argentina"&amp;$K209,Datos!$H:$I,2,0)),"Error"))</f>
        <v/>
      </c>
      <c r="P209" s="61" t="str">
        <f aca="false">IF($M209="","",IFERROR(-$M209*$O209,"Error"))</f>
        <v/>
      </c>
      <c r="Q209" s="61" t="str">
        <f aca="false">IF($M209="","",IFERROR(-($P209-$P209/(1+Datos!$B$2)),"Error"))</f>
        <v/>
      </c>
      <c r="R209" s="61" t="str">
        <f aca="false">IF($M209="","",IF($M209&lt;=15000,-1000,IF($M209&lt;=25000,-2000,IF($M209&lt;=33000,-2400,0))))</f>
        <v/>
      </c>
      <c r="S209" s="61" t="str">
        <f aca="false">IF($M209="","",-($R209-$R209/(1+Datos!$B$2)))</f>
        <v/>
      </c>
      <c r="T209" s="61" t="str">
        <f aca="false">IF($M209="","",-$M209/(1+$L209)*$L209)</f>
        <v/>
      </c>
      <c r="U209" s="61" t="str">
        <f aca="false">IF($M209="","",$C209*$D209)</f>
        <v/>
      </c>
      <c r="V209" s="61" t="str">
        <f aca="false">IF($M209="","",-N($N209))</f>
        <v/>
      </c>
      <c r="W209" s="61" t="str">
        <f aca="false">IF($M209="","",-($V209-$V209/(1+Datos!$B$2)))</f>
        <v/>
      </c>
      <c r="X209" s="61" t="str">
        <f aca="false">IF($M209="","",-$M209*Datos!$C$2)</f>
        <v/>
      </c>
      <c r="Y209" s="61" t="str">
        <f aca="false">IF($M209="","",IFERROR($M209+$U209+$T209+$P209+$Q209+$R209+$S209+$V209+$W209+$X209,"Error"))</f>
        <v/>
      </c>
      <c r="Z209" s="61" t="str">
        <f aca="false">IF($M209="","",IFERROR($Y209-$E209,"Error"))</f>
        <v/>
      </c>
      <c r="AA209" s="60" t="str">
        <f aca="false">IF($M209="","",IFERROR($Z209/($M209+$T209),"Error"))</f>
        <v/>
      </c>
      <c r="AB209" s="62" t="str">
        <f aca="false">IF($M209="","",IFERROR($M209/$E209,"Error"))</f>
        <v/>
      </c>
      <c r="AD209" s="59"/>
      <c r="AE209" s="57"/>
      <c r="AF209" s="58"/>
      <c r="AG209" s="60" t="str">
        <f aca="false">IF(N($AD209)=0,"",IFERROR(($AD209/(1+$L209)-($AD209*$O209+IF($AD209&lt;=15000,1000,IF($AD209&lt;=25000,2000,IF($AD209&lt;=33000,2400,0)))+N($N209))/(1+Datos!$B$2)-$AD209*Datos!$C$2-$C209)/($AD209/(1+$L209)),"Error"))</f>
        <v/>
      </c>
      <c r="AH209" s="61" t="str">
        <f aca="false">IF(N($AD209)=0,"",IFERROR($AD209/(1+$L209)*(1-$AF209)-($AD209*$O209+IF($AD209&lt;=15000,1000,IF($AD209&lt;=25000,2000,IF($AD209&lt;=33000,2400,0)))+N($N209))/(1+Datos!$B$2)-$AD209*Datos!$C$2,"Error"))</f>
        <v/>
      </c>
      <c r="AI209" s="61" t="str">
        <f aca="false">IF($AH209="","",IFERROR($AH209*(1+$D209),"Error"))</f>
        <v/>
      </c>
      <c r="AJ209" s="60" t="str">
        <f aca="false">IF($AH209="","",IFERROR($C209/$AH209-1,"Error"))</f>
        <v/>
      </c>
      <c r="AK209" s="63" t="str">
        <f aca="false">IF($AH209="","",IFERROR(IF($C209&lt;=$AH209,"OK a ese precio","Bajar costo"),"Error"))</f>
        <v/>
      </c>
    </row>
    <row r="210" customFormat="false" ht="15" hidden="false" customHeight="false" outlineLevel="0" collapsed="false">
      <c r="E210" s="0" t="str">
        <f aca="false">IF($C210="","",$C210*(1+$D210))</f>
        <v/>
      </c>
      <c r="J210" s="57"/>
      <c r="K210" s="57"/>
      <c r="L210" s="58"/>
      <c r="M210" s="59"/>
      <c r="N210" s="59"/>
      <c r="O210" s="60" t="str">
        <f aca="false">IF($M210="","",IFERROR(IF($K210="Clásica",VLOOKUP("Argentina"&amp;$J210,Datos!$C:$D,2,0),VLOOKUP("Argentina"&amp;$J210,Datos!$C:$D,2,0)+VLOOKUP("Argentina"&amp;$K210,Datos!$H:$I,2,0)),"Error"))</f>
        <v/>
      </c>
      <c r="P210" s="61" t="str">
        <f aca="false">IF($M210="","",IFERROR(-$M210*$O210,"Error"))</f>
        <v/>
      </c>
      <c r="Q210" s="61" t="str">
        <f aca="false">IF($M210="","",IFERROR(-($P210-$P210/(1+Datos!$B$2)),"Error"))</f>
        <v/>
      </c>
      <c r="R210" s="61" t="str">
        <f aca="false">IF($M210="","",IF($M210&lt;=15000,-1000,IF($M210&lt;=25000,-2000,IF($M210&lt;=33000,-2400,0))))</f>
        <v/>
      </c>
      <c r="S210" s="61" t="str">
        <f aca="false">IF($M210="","",-($R210-$R210/(1+Datos!$B$2)))</f>
        <v/>
      </c>
      <c r="T210" s="61" t="str">
        <f aca="false">IF($M210="","",-$M210/(1+$L210)*$L210)</f>
        <v/>
      </c>
      <c r="U210" s="61" t="str">
        <f aca="false">IF($M210="","",$C210*$D210)</f>
        <v/>
      </c>
      <c r="V210" s="61" t="str">
        <f aca="false">IF($M210="","",-N($N210))</f>
        <v/>
      </c>
      <c r="W210" s="61" t="str">
        <f aca="false">IF($M210="","",-($V210-$V210/(1+Datos!$B$2)))</f>
        <v/>
      </c>
      <c r="X210" s="61" t="str">
        <f aca="false">IF($M210="","",-$M210*Datos!$C$2)</f>
        <v/>
      </c>
      <c r="Y210" s="61" t="str">
        <f aca="false">IF($M210="","",IFERROR($M210+$U210+$T210+$P210+$Q210+$R210+$S210+$V210+$W210+$X210,"Error"))</f>
        <v/>
      </c>
      <c r="Z210" s="61" t="str">
        <f aca="false">IF($M210="","",IFERROR($Y210-$E210,"Error"))</f>
        <v/>
      </c>
      <c r="AA210" s="60" t="str">
        <f aca="false">IF($M210="","",IFERROR($Z210/($M210+$T210),"Error"))</f>
        <v/>
      </c>
      <c r="AB210" s="62" t="str">
        <f aca="false">IF($M210="","",IFERROR($M210/$E210,"Error"))</f>
        <v/>
      </c>
      <c r="AD210" s="59"/>
      <c r="AE210" s="57"/>
      <c r="AF210" s="58"/>
      <c r="AG210" s="60" t="str">
        <f aca="false">IF(N($AD210)=0,"",IFERROR(($AD210/(1+$L210)-($AD210*$O210+IF($AD210&lt;=15000,1000,IF($AD210&lt;=25000,2000,IF($AD210&lt;=33000,2400,0)))+N($N210))/(1+Datos!$B$2)-$AD210*Datos!$C$2-$C210)/($AD210/(1+$L210)),"Error"))</f>
        <v/>
      </c>
      <c r="AH210" s="61" t="str">
        <f aca="false">IF(N($AD210)=0,"",IFERROR($AD210/(1+$L210)*(1-$AF210)-($AD210*$O210+IF($AD210&lt;=15000,1000,IF($AD210&lt;=25000,2000,IF($AD210&lt;=33000,2400,0)))+N($N210))/(1+Datos!$B$2)-$AD210*Datos!$C$2,"Error"))</f>
        <v/>
      </c>
      <c r="AI210" s="61" t="str">
        <f aca="false">IF($AH210="","",IFERROR($AH210*(1+$D210),"Error"))</f>
        <v/>
      </c>
      <c r="AJ210" s="60" t="str">
        <f aca="false">IF($AH210="","",IFERROR($C210/$AH210-1,"Error"))</f>
        <v/>
      </c>
      <c r="AK210" s="63" t="str">
        <f aca="false">IF($AH210="","",IFERROR(IF($C210&lt;=$AH210,"OK a ese precio","Bajar costo"),"Error"))</f>
        <v/>
      </c>
    </row>
    <row r="211" customFormat="false" ht="15" hidden="false" customHeight="false" outlineLevel="0" collapsed="false">
      <c r="E211" s="0" t="str">
        <f aca="false">IF($C211="","",$C211*(1+$D211))</f>
        <v/>
      </c>
      <c r="J211" s="57"/>
      <c r="K211" s="57"/>
      <c r="L211" s="58"/>
      <c r="M211" s="59"/>
      <c r="N211" s="59"/>
      <c r="O211" s="60" t="str">
        <f aca="false">IF($M211="","",IFERROR(IF($K211="Clásica",VLOOKUP("Argentina"&amp;$J211,Datos!$C:$D,2,0),VLOOKUP("Argentina"&amp;$J211,Datos!$C:$D,2,0)+VLOOKUP("Argentina"&amp;$K211,Datos!$H:$I,2,0)),"Error"))</f>
        <v/>
      </c>
      <c r="P211" s="61" t="str">
        <f aca="false">IF($M211="","",IFERROR(-$M211*$O211,"Error"))</f>
        <v/>
      </c>
      <c r="Q211" s="61" t="str">
        <f aca="false">IF($M211="","",IFERROR(-($P211-$P211/(1+Datos!$B$2)),"Error"))</f>
        <v/>
      </c>
      <c r="R211" s="61" t="str">
        <f aca="false">IF($M211="","",IF($M211&lt;=15000,-1000,IF($M211&lt;=25000,-2000,IF($M211&lt;=33000,-2400,0))))</f>
        <v/>
      </c>
      <c r="S211" s="61" t="str">
        <f aca="false">IF($M211="","",-($R211-$R211/(1+Datos!$B$2)))</f>
        <v/>
      </c>
      <c r="T211" s="61" t="str">
        <f aca="false">IF($M211="","",-$M211/(1+$L211)*$L211)</f>
        <v/>
      </c>
      <c r="U211" s="61" t="str">
        <f aca="false">IF($M211="","",$C211*$D211)</f>
        <v/>
      </c>
      <c r="V211" s="61" t="str">
        <f aca="false">IF($M211="","",-N($N211))</f>
        <v/>
      </c>
      <c r="W211" s="61" t="str">
        <f aca="false">IF($M211="","",-($V211-$V211/(1+Datos!$B$2)))</f>
        <v/>
      </c>
      <c r="X211" s="61" t="str">
        <f aca="false">IF($M211="","",-$M211*Datos!$C$2)</f>
        <v/>
      </c>
      <c r="Y211" s="61" t="str">
        <f aca="false">IF($M211="","",IFERROR($M211+$U211+$T211+$P211+$Q211+$R211+$S211+$V211+$W211+$X211,"Error"))</f>
        <v/>
      </c>
      <c r="Z211" s="61" t="str">
        <f aca="false">IF($M211="","",IFERROR($Y211-$E211,"Error"))</f>
        <v/>
      </c>
      <c r="AA211" s="60" t="str">
        <f aca="false">IF($M211="","",IFERROR($Z211/($M211+$T211),"Error"))</f>
        <v/>
      </c>
      <c r="AB211" s="62" t="str">
        <f aca="false">IF($M211="","",IFERROR($M211/$E211,"Error"))</f>
        <v/>
      </c>
      <c r="AD211" s="59"/>
      <c r="AE211" s="57"/>
      <c r="AF211" s="58"/>
      <c r="AG211" s="60" t="str">
        <f aca="false">IF(N($AD211)=0,"",IFERROR(($AD211/(1+$L211)-($AD211*$O211+IF($AD211&lt;=15000,1000,IF($AD211&lt;=25000,2000,IF($AD211&lt;=33000,2400,0)))+N($N211))/(1+Datos!$B$2)-$AD211*Datos!$C$2-$C211)/($AD211/(1+$L211)),"Error"))</f>
        <v/>
      </c>
      <c r="AH211" s="61" t="str">
        <f aca="false">IF(N($AD211)=0,"",IFERROR($AD211/(1+$L211)*(1-$AF211)-($AD211*$O211+IF($AD211&lt;=15000,1000,IF($AD211&lt;=25000,2000,IF($AD211&lt;=33000,2400,0)))+N($N211))/(1+Datos!$B$2)-$AD211*Datos!$C$2,"Error"))</f>
        <v/>
      </c>
      <c r="AI211" s="61" t="str">
        <f aca="false">IF($AH211="","",IFERROR($AH211*(1+$D211),"Error"))</f>
        <v/>
      </c>
      <c r="AJ211" s="60" t="str">
        <f aca="false">IF($AH211="","",IFERROR($C211/$AH211-1,"Error"))</f>
        <v/>
      </c>
      <c r="AK211" s="63" t="str">
        <f aca="false">IF($AH211="","",IFERROR(IF($C211&lt;=$AH211,"OK a ese precio","Bajar costo"),"Error"))</f>
        <v/>
      </c>
    </row>
    <row r="212" customFormat="false" ht="15" hidden="false" customHeight="false" outlineLevel="0" collapsed="false">
      <c r="E212" s="0" t="str">
        <f aca="false">IF($C212="","",$C212*(1+$D212))</f>
        <v/>
      </c>
      <c r="J212" s="57"/>
      <c r="K212" s="57"/>
      <c r="L212" s="58"/>
      <c r="M212" s="59"/>
      <c r="N212" s="59"/>
      <c r="O212" s="60" t="str">
        <f aca="false">IF($M212="","",IFERROR(IF($K212="Clásica",VLOOKUP("Argentina"&amp;$J212,Datos!$C:$D,2,0),VLOOKUP("Argentina"&amp;$J212,Datos!$C:$D,2,0)+VLOOKUP("Argentina"&amp;$K212,Datos!$H:$I,2,0)),"Error"))</f>
        <v/>
      </c>
      <c r="P212" s="61" t="str">
        <f aca="false">IF($M212="","",IFERROR(-$M212*$O212,"Error"))</f>
        <v/>
      </c>
      <c r="Q212" s="61" t="str">
        <f aca="false">IF($M212="","",IFERROR(-($P212-$P212/(1+Datos!$B$2)),"Error"))</f>
        <v/>
      </c>
      <c r="R212" s="61" t="str">
        <f aca="false">IF($M212="","",IF($M212&lt;=15000,-1000,IF($M212&lt;=25000,-2000,IF($M212&lt;=33000,-2400,0))))</f>
        <v/>
      </c>
      <c r="S212" s="61" t="str">
        <f aca="false">IF($M212="","",-($R212-$R212/(1+Datos!$B$2)))</f>
        <v/>
      </c>
      <c r="T212" s="61" t="str">
        <f aca="false">IF($M212="","",-$M212/(1+$L212)*$L212)</f>
        <v/>
      </c>
      <c r="U212" s="61" t="str">
        <f aca="false">IF($M212="","",$C212*$D212)</f>
        <v/>
      </c>
      <c r="V212" s="61" t="str">
        <f aca="false">IF($M212="","",-N($N212))</f>
        <v/>
      </c>
      <c r="W212" s="61" t="str">
        <f aca="false">IF($M212="","",-($V212-$V212/(1+Datos!$B$2)))</f>
        <v/>
      </c>
      <c r="X212" s="61" t="str">
        <f aca="false">IF($M212="","",-$M212*Datos!$C$2)</f>
        <v/>
      </c>
      <c r="Y212" s="61" t="str">
        <f aca="false">IF($M212="","",IFERROR($M212+$U212+$T212+$P212+$Q212+$R212+$S212+$V212+$W212+$X212,"Error"))</f>
        <v/>
      </c>
      <c r="Z212" s="61" t="str">
        <f aca="false">IF($M212="","",IFERROR($Y212-$E212,"Error"))</f>
        <v/>
      </c>
      <c r="AA212" s="60" t="str">
        <f aca="false">IF($M212="","",IFERROR($Z212/($M212+$T212),"Error"))</f>
        <v/>
      </c>
      <c r="AB212" s="62" t="str">
        <f aca="false">IF($M212="","",IFERROR($M212/$E212,"Error"))</f>
        <v/>
      </c>
      <c r="AD212" s="59"/>
      <c r="AE212" s="57"/>
      <c r="AF212" s="58"/>
      <c r="AG212" s="60" t="str">
        <f aca="false">IF(N($AD212)=0,"",IFERROR(($AD212/(1+$L212)-($AD212*$O212+IF($AD212&lt;=15000,1000,IF($AD212&lt;=25000,2000,IF($AD212&lt;=33000,2400,0)))+N($N212))/(1+Datos!$B$2)-$AD212*Datos!$C$2-$C212)/($AD212/(1+$L212)),"Error"))</f>
        <v/>
      </c>
      <c r="AH212" s="61" t="str">
        <f aca="false">IF(N($AD212)=0,"",IFERROR($AD212/(1+$L212)*(1-$AF212)-($AD212*$O212+IF($AD212&lt;=15000,1000,IF($AD212&lt;=25000,2000,IF($AD212&lt;=33000,2400,0)))+N($N212))/(1+Datos!$B$2)-$AD212*Datos!$C$2,"Error"))</f>
        <v/>
      </c>
      <c r="AI212" s="61" t="str">
        <f aca="false">IF($AH212="","",IFERROR($AH212*(1+$D212),"Error"))</f>
        <v/>
      </c>
      <c r="AJ212" s="60" t="str">
        <f aca="false">IF($AH212="","",IFERROR($C212/$AH212-1,"Error"))</f>
        <v/>
      </c>
      <c r="AK212" s="63" t="str">
        <f aca="false">IF($AH212="","",IFERROR(IF($C212&lt;=$AH212,"OK a ese precio","Bajar costo"),"Error"))</f>
        <v/>
      </c>
    </row>
    <row r="213" customFormat="false" ht="15" hidden="false" customHeight="false" outlineLevel="0" collapsed="false">
      <c r="E213" s="0" t="str">
        <f aca="false">IF($C213="","",$C213*(1+$D213))</f>
        <v/>
      </c>
      <c r="J213" s="57"/>
      <c r="K213" s="57"/>
      <c r="L213" s="58"/>
      <c r="M213" s="59"/>
      <c r="N213" s="59"/>
      <c r="O213" s="60" t="str">
        <f aca="false">IF($M213="","",IFERROR(IF($K213="Clásica",VLOOKUP("Argentina"&amp;$J213,Datos!$C:$D,2,0),VLOOKUP("Argentina"&amp;$J213,Datos!$C:$D,2,0)+VLOOKUP("Argentina"&amp;$K213,Datos!$H:$I,2,0)),"Error"))</f>
        <v/>
      </c>
      <c r="P213" s="61" t="str">
        <f aca="false">IF($M213="","",IFERROR(-$M213*$O213,"Error"))</f>
        <v/>
      </c>
      <c r="Q213" s="61" t="str">
        <f aca="false">IF($M213="","",IFERROR(-($P213-$P213/(1+Datos!$B$2)),"Error"))</f>
        <v/>
      </c>
      <c r="R213" s="61" t="str">
        <f aca="false">IF($M213="","",IF($M213&lt;=15000,-1000,IF($M213&lt;=25000,-2000,IF($M213&lt;=33000,-2400,0))))</f>
        <v/>
      </c>
      <c r="S213" s="61" t="str">
        <f aca="false">IF($M213="","",-($R213-$R213/(1+Datos!$B$2)))</f>
        <v/>
      </c>
      <c r="T213" s="61" t="str">
        <f aca="false">IF($M213="","",-$M213/(1+$L213)*$L213)</f>
        <v/>
      </c>
      <c r="U213" s="61" t="str">
        <f aca="false">IF($M213="","",$C213*$D213)</f>
        <v/>
      </c>
      <c r="V213" s="61" t="str">
        <f aca="false">IF($M213="","",-N($N213))</f>
        <v/>
      </c>
      <c r="W213" s="61" t="str">
        <f aca="false">IF($M213="","",-($V213-$V213/(1+Datos!$B$2)))</f>
        <v/>
      </c>
      <c r="X213" s="61" t="str">
        <f aca="false">IF($M213="","",-$M213*Datos!$C$2)</f>
        <v/>
      </c>
      <c r="Y213" s="61" t="str">
        <f aca="false">IF($M213="","",IFERROR($M213+$U213+$T213+$P213+$Q213+$R213+$S213+$V213+$W213+$X213,"Error"))</f>
        <v/>
      </c>
      <c r="Z213" s="61" t="str">
        <f aca="false">IF($M213="","",IFERROR($Y213-$E213,"Error"))</f>
        <v/>
      </c>
      <c r="AA213" s="60" t="str">
        <f aca="false">IF($M213="","",IFERROR($Z213/($M213+$T213),"Error"))</f>
        <v/>
      </c>
      <c r="AB213" s="62" t="str">
        <f aca="false">IF($M213="","",IFERROR($M213/$E213,"Error"))</f>
        <v/>
      </c>
      <c r="AD213" s="59"/>
      <c r="AE213" s="57"/>
      <c r="AF213" s="58"/>
      <c r="AG213" s="60" t="str">
        <f aca="false">IF(N($AD213)=0,"",IFERROR(($AD213/(1+$L213)-($AD213*$O213+IF($AD213&lt;=15000,1000,IF($AD213&lt;=25000,2000,IF($AD213&lt;=33000,2400,0)))+N($N213))/(1+Datos!$B$2)-$AD213*Datos!$C$2-$C213)/($AD213/(1+$L213)),"Error"))</f>
        <v/>
      </c>
      <c r="AH213" s="61" t="str">
        <f aca="false">IF(N($AD213)=0,"",IFERROR($AD213/(1+$L213)*(1-$AF213)-($AD213*$O213+IF($AD213&lt;=15000,1000,IF($AD213&lt;=25000,2000,IF($AD213&lt;=33000,2400,0)))+N($N213))/(1+Datos!$B$2)-$AD213*Datos!$C$2,"Error"))</f>
        <v/>
      </c>
      <c r="AI213" s="61" t="str">
        <f aca="false">IF($AH213="","",IFERROR($AH213*(1+$D213),"Error"))</f>
        <v/>
      </c>
      <c r="AJ213" s="60" t="str">
        <f aca="false">IF($AH213="","",IFERROR($C213/$AH213-1,"Error"))</f>
        <v/>
      </c>
      <c r="AK213" s="63" t="str">
        <f aca="false">IF($AH213="","",IFERROR(IF($C213&lt;=$AH213,"OK a ese precio","Bajar costo"),"Error"))</f>
        <v/>
      </c>
    </row>
    <row r="214" customFormat="false" ht="15" hidden="false" customHeight="false" outlineLevel="0" collapsed="false">
      <c r="E214" s="0" t="str">
        <f aca="false">IF($C214="","",$C214*(1+$D214))</f>
        <v/>
      </c>
      <c r="J214" s="57"/>
      <c r="K214" s="57"/>
      <c r="L214" s="58"/>
      <c r="M214" s="59"/>
      <c r="N214" s="59"/>
      <c r="O214" s="60" t="str">
        <f aca="false">IF($M214="","",IFERROR(IF($K214="Clásica",VLOOKUP("Argentina"&amp;$J214,Datos!$C:$D,2,0),VLOOKUP("Argentina"&amp;$J214,Datos!$C:$D,2,0)+VLOOKUP("Argentina"&amp;$K214,Datos!$H:$I,2,0)),"Error"))</f>
        <v/>
      </c>
      <c r="P214" s="61" t="str">
        <f aca="false">IF($M214="","",IFERROR(-$M214*$O214,"Error"))</f>
        <v/>
      </c>
      <c r="Q214" s="61" t="str">
        <f aca="false">IF($M214="","",IFERROR(-($P214-$P214/(1+Datos!$B$2)),"Error"))</f>
        <v/>
      </c>
      <c r="R214" s="61" t="str">
        <f aca="false">IF($M214="","",IF($M214&lt;=15000,-1000,IF($M214&lt;=25000,-2000,IF($M214&lt;=33000,-2400,0))))</f>
        <v/>
      </c>
      <c r="S214" s="61" t="str">
        <f aca="false">IF($M214="","",-($R214-$R214/(1+Datos!$B$2)))</f>
        <v/>
      </c>
      <c r="T214" s="61" t="str">
        <f aca="false">IF($M214="","",-$M214/(1+$L214)*$L214)</f>
        <v/>
      </c>
      <c r="U214" s="61" t="str">
        <f aca="false">IF($M214="","",$C214*$D214)</f>
        <v/>
      </c>
      <c r="V214" s="61" t="str">
        <f aca="false">IF($M214="","",-N($N214))</f>
        <v/>
      </c>
      <c r="W214" s="61" t="str">
        <f aca="false">IF($M214="","",-($V214-$V214/(1+Datos!$B$2)))</f>
        <v/>
      </c>
      <c r="X214" s="61" t="str">
        <f aca="false">IF($M214="","",-$M214*Datos!$C$2)</f>
        <v/>
      </c>
      <c r="Y214" s="61" t="str">
        <f aca="false">IF($M214="","",IFERROR($M214+$U214+$T214+$P214+$Q214+$R214+$S214+$V214+$W214+$X214,"Error"))</f>
        <v/>
      </c>
      <c r="Z214" s="61" t="str">
        <f aca="false">IF($M214="","",IFERROR($Y214-$E214,"Error"))</f>
        <v/>
      </c>
      <c r="AA214" s="60" t="str">
        <f aca="false">IF($M214="","",IFERROR($Z214/($M214+$T214),"Error"))</f>
        <v/>
      </c>
      <c r="AB214" s="62" t="str">
        <f aca="false">IF($M214="","",IFERROR($M214/$E214,"Error"))</f>
        <v/>
      </c>
      <c r="AD214" s="59"/>
      <c r="AE214" s="57"/>
      <c r="AF214" s="58"/>
      <c r="AG214" s="60" t="str">
        <f aca="false">IF(N($AD214)=0,"",IFERROR(($AD214/(1+$L214)-($AD214*$O214+IF($AD214&lt;=15000,1000,IF($AD214&lt;=25000,2000,IF($AD214&lt;=33000,2400,0)))+N($N214))/(1+Datos!$B$2)-$AD214*Datos!$C$2-$C214)/($AD214/(1+$L214)),"Error"))</f>
        <v/>
      </c>
      <c r="AH214" s="61" t="str">
        <f aca="false">IF(N($AD214)=0,"",IFERROR($AD214/(1+$L214)*(1-$AF214)-($AD214*$O214+IF($AD214&lt;=15000,1000,IF($AD214&lt;=25000,2000,IF($AD214&lt;=33000,2400,0)))+N($N214))/(1+Datos!$B$2)-$AD214*Datos!$C$2,"Error"))</f>
        <v/>
      </c>
      <c r="AI214" s="61" t="str">
        <f aca="false">IF($AH214="","",IFERROR($AH214*(1+$D214),"Error"))</f>
        <v/>
      </c>
      <c r="AJ214" s="60" t="str">
        <f aca="false">IF($AH214="","",IFERROR($C214/$AH214-1,"Error"))</f>
        <v/>
      </c>
      <c r="AK214" s="63" t="str">
        <f aca="false">IF($AH214="","",IFERROR(IF($C214&lt;=$AH214,"OK a ese precio","Bajar costo"),"Error"))</f>
        <v/>
      </c>
    </row>
    <row r="215" customFormat="false" ht="15" hidden="false" customHeight="false" outlineLevel="0" collapsed="false">
      <c r="E215" s="0" t="str">
        <f aca="false">IF($C215="","",$C215*(1+$D215))</f>
        <v/>
      </c>
      <c r="J215" s="57"/>
      <c r="K215" s="57"/>
      <c r="L215" s="58"/>
      <c r="M215" s="59"/>
      <c r="N215" s="59"/>
      <c r="O215" s="60" t="str">
        <f aca="false">IF($M215="","",IFERROR(IF($K215="Clásica",VLOOKUP("Argentina"&amp;$J215,Datos!$C:$D,2,0),VLOOKUP("Argentina"&amp;$J215,Datos!$C:$D,2,0)+VLOOKUP("Argentina"&amp;$K215,Datos!$H:$I,2,0)),"Error"))</f>
        <v/>
      </c>
      <c r="P215" s="61" t="str">
        <f aca="false">IF($M215="","",IFERROR(-$M215*$O215,"Error"))</f>
        <v/>
      </c>
      <c r="Q215" s="61" t="str">
        <f aca="false">IF($M215="","",IFERROR(-($P215-$P215/(1+Datos!$B$2)),"Error"))</f>
        <v/>
      </c>
      <c r="R215" s="61" t="str">
        <f aca="false">IF($M215="","",IF($M215&lt;=15000,-1000,IF($M215&lt;=25000,-2000,IF($M215&lt;=33000,-2400,0))))</f>
        <v/>
      </c>
      <c r="S215" s="61" t="str">
        <f aca="false">IF($M215="","",-($R215-$R215/(1+Datos!$B$2)))</f>
        <v/>
      </c>
      <c r="T215" s="61" t="str">
        <f aca="false">IF($M215="","",-$M215/(1+$L215)*$L215)</f>
        <v/>
      </c>
      <c r="U215" s="61" t="str">
        <f aca="false">IF($M215="","",$C215*$D215)</f>
        <v/>
      </c>
      <c r="V215" s="61" t="str">
        <f aca="false">IF($M215="","",-N($N215))</f>
        <v/>
      </c>
      <c r="W215" s="61" t="str">
        <f aca="false">IF($M215="","",-($V215-$V215/(1+Datos!$B$2)))</f>
        <v/>
      </c>
      <c r="X215" s="61" t="str">
        <f aca="false">IF($M215="","",-$M215*Datos!$C$2)</f>
        <v/>
      </c>
      <c r="Y215" s="61" t="str">
        <f aca="false">IF($M215="","",IFERROR($M215+$U215+$T215+$P215+$Q215+$R215+$S215+$V215+$W215+$X215,"Error"))</f>
        <v/>
      </c>
      <c r="Z215" s="61" t="str">
        <f aca="false">IF($M215="","",IFERROR($Y215-$E215,"Error"))</f>
        <v/>
      </c>
      <c r="AA215" s="60" t="str">
        <f aca="false">IF($M215="","",IFERROR($Z215/($M215+$T215),"Error"))</f>
        <v/>
      </c>
      <c r="AB215" s="62" t="str">
        <f aca="false">IF($M215="","",IFERROR($M215/$E215,"Error"))</f>
        <v/>
      </c>
      <c r="AD215" s="59"/>
      <c r="AE215" s="57"/>
      <c r="AF215" s="58"/>
      <c r="AG215" s="60" t="str">
        <f aca="false">IF(N($AD215)=0,"",IFERROR(($AD215/(1+$L215)-($AD215*$O215+IF($AD215&lt;=15000,1000,IF($AD215&lt;=25000,2000,IF($AD215&lt;=33000,2400,0)))+N($N215))/(1+Datos!$B$2)-$AD215*Datos!$C$2-$C215)/($AD215/(1+$L215)),"Error"))</f>
        <v/>
      </c>
      <c r="AH215" s="61" t="str">
        <f aca="false">IF(N($AD215)=0,"",IFERROR($AD215/(1+$L215)*(1-$AF215)-($AD215*$O215+IF($AD215&lt;=15000,1000,IF($AD215&lt;=25000,2000,IF($AD215&lt;=33000,2400,0)))+N($N215))/(1+Datos!$B$2)-$AD215*Datos!$C$2,"Error"))</f>
        <v/>
      </c>
      <c r="AI215" s="61" t="str">
        <f aca="false">IF($AH215="","",IFERROR($AH215*(1+$D215),"Error"))</f>
        <v/>
      </c>
      <c r="AJ215" s="60" t="str">
        <f aca="false">IF($AH215="","",IFERROR($C215/$AH215-1,"Error"))</f>
        <v/>
      </c>
      <c r="AK215" s="63" t="str">
        <f aca="false">IF($AH215="","",IFERROR(IF($C215&lt;=$AH215,"OK a ese precio","Bajar costo"),"Error"))</f>
        <v/>
      </c>
    </row>
    <row r="216" customFormat="false" ht="15" hidden="false" customHeight="false" outlineLevel="0" collapsed="false">
      <c r="E216" s="0" t="str">
        <f aca="false">IF($C216="","",$C216*(1+$D216))</f>
        <v/>
      </c>
      <c r="J216" s="57"/>
      <c r="K216" s="57"/>
      <c r="L216" s="58"/>
      <c r="M216" s="59"/>
      <c r="N216" s="59"/>
      <c r="O216" s="60" t="str">
        <f aca="false">IF($M216="","",IFERROR(IF($K216="Clásica",VLOOKUP("Argentina"&amp;$J216,Datos!$C:$D,2,0),VLOOKUP("Argentina"&amp;$J216,Datos!$C:$D,2,0)+VLOOKUP("Argentina"&amp;$K216,Datos!$H:$I,2,0)),"Error"))</f>
        <v/>
      </c>
      <c r="P216" s="61" t="str">
        <f aca="false">IF($M216="","",IFERROR(-$M216*$O216,"Error"))</f>
        <v/>
      </c>
      <c r="Q216" s="61" t="str">
        <f aca="false">IF($M216="","",IFERROR(-($P216-$P216/(1+Datos!$B$2)),"Error"))</f>
        <v/>
      </c>
      <c r="R216" s="61" t="str">
        <f aca="false">IF($M216="","",IF($M216&lt;=15000,-1000,IF($M216&lt;=25000,-2000,IF($M216&lt;=33000,-2400,0))))</f>
        <v/>
      </c>
      <c r="S216" s="61" t="str">
        <f aca="false">IF($M216="","",-($R216-$R216/(1+Datos!$B$2)))</f>
        <v/>
      </c>
      <c r="T216" s="61" t="str">
        <f aca="false">IF($M216="","",-$M216/(1+$L216)*$L216)</f>
        <v/>
      </c>
      <c r="U216" s="61" t="str">
        <f aca="false">IF($M216="","",$C216*$D216)</f>
        <v/>
      </c>
      <c r="V216" s="61" t="str">
        <f aca="false">IF($M216="","",-N($N216))</f>
        <v/>
      </c>
      <c r="W216" s="61" t="str">
        <f aca="false">IF($M216="","",-($V216-$V216/(1+Datos!$B$2)))</f>
        <v/>
      </c>
      <c r="X216" s="61" t="str">
        <f aca="false">IF($M216="","",-$M216*Datos!$C$2)</f>
        <v/>
      </c>
      <c r="Y216" s="61" t="str">
        <f aca="false">IF($M216="","",IFERROR($M216+$U216+$T216+$P216+$Q216+$R216+$S216+$V216+$W216+$X216,"Error"))</f>
        <v/>
      </c>
      <c r="Z216" s="61" t="str">
        <f aca="false">IF($M216="","",IFERROR($Y216-$E216,"Error"))</f>
        <v/>
      </c>
      <c r="AA216" s="60" t="str">
        <f aca="false">IF($M216="","",IFERROR($Z216/($M216+$T216),"Error"))</f>
        <v/>
      </c>
      <c r="AB216" s="62" t="str">
        <f aca="false">IF($M216="","",IFERROR($M216/$E216,"Error"))</f>
        <v/>
      </c>
      <c r="AD216" s="59"/>
      <c r="AE216" s="57"/>
      <c r="AF216" s="58"/>
      <c r="AG216" s="60" t="str">
        <f aca="false">IF(N($AD216)=0,"",IFERROR(($AD216/(1+$L216)-($AD216*$O216+IF($AD216&lt;=15000,1000,IF($AD216&lt;=25000,2000,IF($AD216&lt;=33000,2400,0)))+N($N216))/(1+Datos!$B$2)-$AD216*Datos!$C$2-$C216)/($AD216/(1+$L216)),"Error"))</f>
        <v/>
      </c>
      <c r="AH216" s="61" t="str">
        <f aca="false">IF(N($AD216)=0,"",IFERROR($AD216/(1+$L216)*(1-$AF216)-($AD216*$O216+IF($AD216&lt;=15000,1000,IF($AD216&lt;=25000,2000,IF($AD216&lt;=33000,2400,0)))+N($N216))/(1+Datos!$B$2)-$AD216*Datos!$C$2,"Error"))</f>
        <v/>
      </c>
      <c r="AI216" s="61" t="str">
        <f aca="false">IF($AH216="","",IFERROR($AH216*(1+$D216),"Error"))</f>
        <v/>
      </c>
      <c r="AJ216" s="60" t="str">
        <f aca="false">IF($AH216="","",IFERROR($C216/$AH216-1,"Error"))</f>
        <v/>
      </c>
      <c r="AK216" s="63" t="str">
        <f aca="false">IF($AH216="","",IFERROR(IF($C216&lt;=$AH216,"OK a ese precio","Bajar costo"),"Error"))</f>
        <v/>
      </c>
    </row>
    <row r="217" customFormat="false" ht="15" hidden="false" customHeight="false" outlineLevel="0" collapsed="false">
      <c r="E217" s="0" t="str">
        <f aca="false">IF($C217="","",$C217*(1+$D217))</f>
        <v/>
      </c>
      <c r="J217" s="57"/>
      <c r="K217" s="57"/>
      <c r="L217" s="58"/>
      <c r="M217" s="59"/>
      <c r="N217" s="59"/>
      <c r="O217" s="60" t="str">
        <f aca="false">IF($M217="","",IFERROR(IF($K217="Clásica",VLOOKUP("Argentina"&amp;$J217,Datos!$C:$D,2,0),VLOOKUP("Argentina"&amp;$J217,Datos!$C:$D,2,0)+VLOOKUP("Argentina"&amp;$K217,Datos!$H:$I,2,0)),"Error"))</f>
        <v/>
      </c>
      <c r="P217" s="61" t="str">
        <f aca="false">IF($M217="","",IFERROR(-$M217*$O217,"Error"))</f>
        <v/>
      </c>
      <c r="Q217" s="61" t="str">
        <f aca="false">IF($M217="","",IFERROR(-($P217-$P217/(1+Datos!$B$2)),"Error"))</f>
        <v/>
      </c>
      <c r="R217" s="61" t="str">
        <f aca="false">IF($M217="","",IF($M217&lt;=15000,-1000,IF($M217&lt;=25000,-2000,IF($M217&lt;=33000,-2400,0))))</f>
        <v/>
      </c>
      <c r="S217" s="61" t="str">
        <f aca="false">IF($M217="","",-($R217-$R217/(1+Datos!$B$2)))</f>
        <v/>
      </c>
      <c r="T217" s="61" t="str">
        <f aca="false">IF($M217="","",-$M217/(1+$L217)*$L217)</f>
        <v/>
      </c>
      <c r="U217" s="61" t="str">
        <f aca="false">IF($M217="","",$C217*$D217)</f>
        <v/>
      </c>
      <c r="V217" s="61" t="str">
        <f aca="false">IF($M217="","",-N($N217))</f>
        <v/>
      </c>
      <c r="W217" s="61" t="str">
        <f aca="false">IF($M217="","",-($V217-$V217/(1+Datos!$B$2)))</f>
        <v/>
      </c>
      <c r="X217" s="61" t="str">
        <f aca="false">IF($M217="","",-$M217*Datos!$C$2)</f>
        <v/>
      </c>
      <c r="Y217" s="61" t="str">
        <f aca="false">IF($M217="","",IFERROR($M217+$U217+$T217+$P217+$Q217+$R217+$S217+$V217+$W217+$X217,"Error"))</f>
        <v/>
      </c>
      <c r="Z217" s="61" t="str">
        <f aca="false">IF($M217="","",IFERROR($Y217-$E217,"Error"))</f>
        <v/>
      </c>
      <c r="AA217" s="60" t="str">
        <f aca="false">IF($M217="","",IFERROR($Z217/($M217+$T217),"Error"))</f>
        <v/>
      </c>
      <c r="AB217" s="62" t="str">
        <f aca="false">IF($M217="","",IFERROR($M217/$E217,"Error"))</f>
        <v/>
      </c>
      <c r="AD217" s="59"/>
      <c r="AE217" s="57"/>
      <c r="AF217" s="58"/>
      <c r="AG217" s="60" t="str">
        <f aca="false">IF(N($AD217)=0,"",IFERROR(($AD217/(1+$L217)-($AD217*$O217+IF($AD217&lt;=15000,1000,IF($AD217&lt;=25000,2000,IF($AD217&lt;=33000,2400,0)))+N($N217))/(1+Datos!$B$2)-$AD217*Datos!$C$2-$C217)/($AD217/(1+$L217)),"Error"))</f>
        <v/>
      </c>
      <c r="AH217" s="61" t="str">
        <f aca="false">IF(N($AD217)=0,"",IFERROR($AD217/(1+$L217)*(1-$AF217)-($AD217*$O217+IF($AD217&lt;=15000,1000,IF($AD217&lt;=25000,2000,IF($AD217&lt;=33000,2400,0)))+N($N217))/(1+Datos!$B$2)-$AD217*Datos!$C$2,"Error"))</f>
        <v/>
      </c>
      <c r="AI217" s="61" t="str">
        <f aca="false">IF($AH217="","",IFERROR($AH217*(1+$D217),"Error"))</f>
        <v/>
      </c>
      <c r="AJ217" s="60" t="str">
        <f aca="false">IF($AH217="","",IFERROR($C217/$AH217-1,"Error"))</f>
        <v/>
      </c>
      <c r="AK217" s="63" t="str">
        <f aca="false">IF($AH217="","",IFERROR(IF($C217&lt;=$AH217,"OK a ese precio","Bajar costo"),"Error"))</f>
        <v/>
      </c>
    </row>
    <row r="218" customFormat="false" ht="15" hidden="false" customHeight="false" outlineLevel="0" collapsed="false">
      <c r="E218" s="0" t="str">
        <f aca="false">IF($C218="","",$C218*(1+$D218))</f>
        <v/>
      </c>
      <c r="J218" s="57"/>
      <c r="K218" s="57"/>
      <c r="L218" s="58"/>
      <c r="M218" s="59"/>
      <c r="N218" s="59"/>
      <c r="O218" s="60" t="str">
        <f aca="false">IF($M218="","",IFERROR(IF($K218="Clásica",VLOOKUP("Argentina"&amp;$J218,Datos!$C:$D,2,0),VLOOKUP("Argentina"&amp;$J218,Datos!$C:$D,2,0)+VLOOKUP("Argentina"&amp;$K218,Datos!$H:$I,2,0)),"Error"))</f>
        <v/>
      </c>
      <c r="P218" s="61" t="str">
        <f aca="false">IF($M218="","",IFERROR(-$M218*$O218,"Error"))</f>
        <v/>
      </c>
      <c r="Q218" s="61" t="str">
        <f aca="false">IF($M218="","",IFERROR(-($P218-$P218/(1+Datos!$B$2)),"Error"))</f>
        <v/>
      </c>
      <c r="R218" s="61" t="str">
        <f aca="false">IF($M218="","",IF($M218&lt;=15000,-1000,IF($M218&lt;=25000,-2000,IF($M218&lt;=33000,-2400,0))))</f>
        <v/>
      </c>
      <c r="S218" s="61" t="str">
        <f aca="false">IF($M218="","",-($R218-$R218/(1+Datos!$B$2)))</f>
        <v/>
      </c>
      <c r="T218" s="61" t="str">
        <f aca="false">IF($M218="","",-$M218/(1+$L218)*$L218)</f>
        <v/>
      </c>
      <c r="U218" s="61" t="str">
        <f aca="false">IF($M218="","",$C218*$D218)</f>
        <v/>
      </c>
      <c r="V218" s="61" t="str">
        <f aca="false">IF($M218="","",-N($N218))</f>
        <v/>
      </c>
      <c r="W218" s="61" t="str">
        <f aca="false">IF($M218="","",-($V218-$V218/(1+Datos!$B$2)))</f>
        <v/>
      </c>
      <c r="X218" s="61" t="str">
        <f aca="false">IF($M218="","",-$M218*Datos!$C$2)</f>
        <v/>
      </c>
      <c r="Y218" s="61" t="str">
        <f aca="false">IF($M218="","",IFERROR($M218+$U218+$T218+$P218+$Q218+$R218+$S218+$V218+$W218+$X218,"Error"))</f>
        <v/>
      </c>
      <c r="Z218" s="61" t="str">
        <f aca="false">IF($M218="","",IFERROR($Y218-$E218,"Error"))</f>
        <v/>
      </c>
      <c r="AA218" s="60" t="str">
        <f aca="false">IF($M218="","",IFERROR($Z218/($M218+$T218),"Error"))</f>
        <v/>
      </c>
      <c r="AB218" s="62" t="str">
        <f aca="false">IF($M218="","",IFERROR($M218/$E218,"Error"))</f>
        <v/>
      </c>
      <c r="AD218" s="59"/>
      <c r="AE218" s="57"/>
      <c r="AF218" s="58"/>
      <c r="AG218" s="60" t="str">
        <f aca="false">IF(N($AD218)=0,"",IFERROR(($AD218/(1+$L218)-($AD218*$O218+IF($AD218&lt;=15000,1000,IF($AD218&lt;=25000,2000,IF($AD218&lt;=33000,2400,0)))+N($N218))/(1+Datos!$B$2)-$AD218*Datos!$C$2-$C218)/($AD218/(1+$L218)),"Error"))</f>
        <v/>
      </c>
      <c r="AH218" s="61" t="str">
        <f aca="false">IF(N($AD218)=0,"",IFERROR($AD218/(1+$L218)*(1-$AF218)-($AD218*$O218+IF($AD218&lt;=15000,1000,IF($AD218&lt;=25000,2000,IF($AD218&lt;=33000,2400,0)))+N($N218))/(1+Datos!$B$2)-$AD218*Datos!$C$2,"Error"))</f>
        <v/>
      </c>
      <c r="AI218" s="61" t="str">
        <f aca="false">IF($AH218="","",IFERROR($AH218*(1+$D218),"Error"))</f>
        <v/>
      </c>
      <c r="AJ218" s="60" t="str">
        <f aca="false">IF($AH218="","",IFERROR($C218/$AH218-1,"Error"))</f>
        <v/>
      </c>
      <c r="AK218" s="63" t="str">
        <f aca="false">IF($AH218="","",IFERROR(IF($C218&lt;=$AH218,"OK a ese precio","Bajar costo"),"Error"))</f>
        <v/>
      </c>
    </row>
    <row r="219" customFormat="false" ht="15" hidden="false" customHeight="false" outlineLevel="0" collapsed="false">
      <c r="E219" s="0" t="str">
        <f aca="false">IF($C219="","",$C219*(1+$D219))</f>
        <v/>
      </c>
      <c r="J219" s="57"/>
      <c r="K219" s="57"/>
      <c r="L219" s="58"/>
      <c r="M219" s="59"/>
      <c r="N219" s="59"/>
      <c r="O219" s="60" t="str">
        <f aca="false">IF($M219="","",IFERROR(IF($K219="Clásica",VLOOKUP("Argentina"&amp;$J219,Datos!$C:$D,2,0),VLOOKUP("Argentina"&amp;$J219,Datos!$C:$D,2,0)+VLOOKUP("Argentina"&amp;$K219,Datos!$H:$I,2,0)),"Error"))</f>
        <v/>
      </c>
      <c r="P219" s="61" t="str">
        <f aca="false">IF($M219="","",IFERROR(-$M219*$O219,"Error"))</f>
        <v/>
      </c>
      <c r="Q219" s="61" t="str">
        <f aca="false">IF($M219="","",IFERROR(-($P219-$P219/(1+Datos!$B$2)),"Error"))</f>
        <v/>
      </c>
      <c r="R219" s="61" t="str">
        <f aca="false">IF($M219="","",IF($M219&lt;=15000,-1000,IF($M219&lt;=25000,-2000,IF($M219&lt;=33000,-2400,0))))</f>
        <v/>
      </c>
      <c r="S219" s="61" t="str">
        <f aca="false">IF($M219="","",-($R219-$R219/(1+Datos!$B$2)))</f>
        <v/>
      </c>
      <c r="T219" s="61" t="str">
        <f aca="false">IF($M219="","",-$M219/(1+$L219)*$L219)</f>
        <v/>
      </c>
      <c r="U219" s="61" t="str">
        <f aca="false">IF($M219="","",$C219*$D219)</f>
        <v/>
      </c>
      <c r="V219" s="61" t="str">
        <f aca="false">IF($M219="","",-N($N219))</f>
        <v/>
      </c>
      <c r="W219" s="61" t="str">
        <f aca="false">IF($M219="","",-($V219-$V219/(1+Datos!$B$2)))</f>
        <v/>
      </c>
      <c r="X219" s="61" t="str">
        <f aca="false">IF($M219="","",-$M219*Datos!$C$2)</f>
        <v/>
      </c>
      <c r="Y219" s="61" t="str">
        <f aca="false">IF($M219="","",IFERROR($M219+$U219+$T219+$P219+$Q219+$R219+$S219+$V219+$W219+$X219,"Error"))</f>
        <v/>
      </c>
      <c r="Z219" s="61" t="str">
        <f aca="false">IF($M219="","",IFERROR($Y219-$E219,"Error"))</f>
        <v/>
      </c>
      <c r="AA219" s="60" t="str">
        <f aca="false">IF($M219="","",IFERROR($Z219/($M219+$T219),"Error"))</f>
        <v/>
      </c>
      <c r="AB219" s="62" t="str">
        <f aca="false">IF($M219="","",IFERROR($M219/$E219,"Error"))</f>
        <v/>
      </c>
      <c r="AD219" s="59"/>
      <c r="AE219" s="57"/>
      <c r="AF219" s="58"/>
      <c r="AG219" s="60" t="str">
        <f aca="false">IF(N($AD219)=0,"",IFERROR(($AD219/(1+$L219)-($AD219*$O219+IF($AD219&lt;=15000,1000,IF($AD219&lt;=25000,2000,IF($AD219&lt;=33000,2400,0)))+N($N219))/(1+Datos!$B$2)-$AD219*Datos!$C$2-$C219)/($AD219/(1+$L219)),"Error"))</f>
        <v/>
      </c>
      <c r="AH219" s="61" t="str">
        <f aca="false">IF(N($AD219)=0,"",IFERROR($AD219/(1+$L219)*(1-$AF219)-($AD219*$O219+IF($AD219&lt;=15000,1000,IF($AD219&lt;=25000,2000,IF($AD219&lt;=33000,2400,0)))+N($N219))/(1+Datos!$B$2)-$AD219*Datos!$C$2,"Error"))</f>
        <v/>
      </c>
      <c r="AI219" s="61" t="str">
        <f aca="false">IF($AH219="","",IFERROR($AH219*(1+$D219),"Error"))</f>
        <v/>
      </c>
      <c r="AJ219" s="60" t="str">
        <f aca="false">IF($AH219="","",IFERROR($C219/$AH219-1,"Error"))</f>
        <v/>
      </c>
      <c r="AK219" s="63" t="str">
        <f aca="false">IF($AH219="","",IFERROR(IF($C219&lt;=$AH219,"OK a ese precio","Bajar costo"),"Error"))</f>
        <v/>
      </c>
    </row>
    <row r="220" customFormat="false" ht="15" hidden="false" customHeight="false" outlineLevel="0" collapsed="false">
      <c r="E220" s="0" t="str">
        <f aca="false">IF($C220="","",$C220*(1+$D220))</f>
        <v/>
      </c>
      <c r="J220" s="57"/>
      <c r="K220" s="57"/>
      <c r="L220" s="58"/>
      <c r="M220" s="59"/>
      <c r="N220" s="59"/>
      <c r="O220" s="60" t="str">
        <f aca="false">IF($M220="","",IFERROR(IF($K220="Clásica",VLOOKUP("Argentina"&amp;$J220,Datos!$C:$D,2,0),VLOOKUP("Argentina"&amp;$J220,Datos!$C:$D,2,0)+VLOOKUP("Argentina"&amp;$K220,Datos!$H:$I,2,0)),"Error"))</f>
        <v/>
      </c>
      <c r="P220" s="61" t="str">
        <f aca="false">IF($M220="","",IFERROR(-$M220*$O220,"Error"))</f>
        <v/>
      </c>
      <c r="Q220" s="61" t="str">
        <f aca="false">IF($M220="","",IFERROR(-($P220-$P220/(1+Datos!$B$2)),"Error"))</f>
        <v/>
      </c>
      <c r="R220" s="61" t="str">
        <f aca="false">IF($M220="","",IF($M220&lt;=15000,-1000,IF($M220&lt;=25000,-2000,IF($M220&lt;=33000,-2400,0))))</f>
        <v/>
      </c>
      <c r="S220" s="61" t="str">
        <f aca="false">IF($M220="","",-($R220-$R220/(1+Datos!$B$2)))</f>
        <v/>
      </c>
      <c r="T220" s="61" t="str">
        <f aca="false">IF($M220="","",-$M220/(1+$L220)*$L220)</f>
        <v/>
      </c>
      <c r="U220" s="61" t="str">
        <f aca="false">IF($M220="","",$C220*$D220)</f>
        <v/>
      </c>
      <c r="V220" s="61" t="str">
        <f aca="false">IF($M220="","",-N($N220))</f>
        <v/>
      </c>
      <c r="W220" s="61" t="str">
        <f aca="false">IF($M220="","",-($V220-$V220/(1+Datos!$B$2)))</f>
        <v/>
      </c>
      <c r="X220" s="61" t="str">
        <f aca="false">IF($M220="","",-$M220*Datos!$C$2)</f>
        <v/>
      </c>
      <c r="Y220" s="61" t="str">
        <f aca="false">IF($M220="","",IFERROR($M220+$U220+$T220+$P220+$Q220+$R220+$S220+$V220+$W220+$X220,"Error"))</f>
        <v/>
      </c>
      <c r="Z220" s="61" t="str">
        <f aca="false">IF($M220="","",IFERROR($Y220-$E220,"Error"))</f>
        <v/>
      </c>
      <c r="AA220" s="60" t="str">
        <f aca="false">IF($M220="","",IFERROR($Z220/($M220+$T220),"Error"))</f>
        <v/>
      </c>
      <c r="AB220" s="62" t="str">
        <f aca="false">IF($M220="","",IFERROR($M220/$E220,"Error"))</f>
        <v/>
      </c>
      <c r="AD220" s="59"/>
      <c r="AE220" s="57"/>
      <c r="AF220" s="58"/>
      <c r="AG220" s="60" t="str">
        <f aca="false">IF(N($AD220)=0,"",IFERROR(($AD220/(1+$L220)-($AD220*$O220+IF($AD220&lt;=15000,1000,IF($AD220&lt;=25000,2000,IF($AD220&lt;=33000,2400,0)))+N($N220))/(1+Datos!$B$2)-$AD220*Datos!$C$2-$C220)/($AD220/(1+$L220)),"Error"))</f>
        <v/>
      </c>
      <c r="AH220" s="61" t="str">
        <f aca="false">IF(N($AD220)=0,"",IFERROR($AD220/(1+$L220)*(1-$AF220)-($AD220*$O220+IF($AD220&lt;=15000,1000,IF($AD220&lt;=25000,2000,IF($AD220&lt;=33000,2400,0)))+N($N220))/(1+Datos!$B$2)-$AD220*Datos!$C$2,"Error"))</f>
        <v/>
      </c>
      <c r="AI220" s="61" t="str">
        <f aca="false">IF($AH220="","",IFERROR($AH220*(1+$D220),"Error"))</f>
        <v/>
      </c>
      <c r="AJ220" s="60" t="str">
        <f aca="false">IF($AH220="","",IFERROR($C220/$AH220-1,"Error"))</f>
        <v/>
      </c>
      <c r="AK220" s="63" t="str">
        <f aca="false">IF($AH220="","",IFERROR(IF($C220&lt;=$AH220,"OK a ese precio","Bajar costo"),"Error"))</f>
        <v/>
      </c>
    </row>
    <row r="221" customFormat="false" ht="15" hidden="false" customHeight="false" outlineLevel="0" collapsed="false">
      <c r="E221" s="0" t="str">
        <f aca="false">IF($C221="","",$C221*(1+$D221))</f>
        <v/>
      </c>
      <c r="J221" s="57"/>
      <c r="K221" s="57"/>
      <c r="L221" s="58"/>
      <c r="M221" s="59"/>
      <c r="N221" s="59"/>
      <c r="O221" s="60" t="str">
        <f aca="false">IF($M221="","",IFERROR(IF($K221="Clásica",VLOOKUP("Argentina"&amp;$J221,Datos!$C:$D,2,0),VLOOKUP("Argentina"&amp;$J221,Datos!$C:$D,2,0)+VLOOKUP("Argentina"&amp;$K221,Datos!$H:$I,2,0)),"Error"))</f>
        <v/>
      </c>
      <c r="P221" s="61" t="str">
        <f aca="false">IF($M221="","",IFERROR(-$M221*$O221,"Error"))</f>
        <v/>
      </c>
      <c r="Q221" s="61" t="str">
        <f aca="false">IF($M221="","",IFERROR(-($P221-$P221/(1+Datos!$B$2)),"Error"))</f>
        <v/>
      </c>
      <c r="R221" s="61" t="str">
        <f aca="false">IF($M221="","",IF($M221&lt;=15000,-1000,IF($M221&lt;=25000,-2000,IF($M221&lt;=33000,-2400,0))))</f>
        <v/>
      </c>
      <c r="S221" s="61" t="str">
        <f aca="false">IF($M221="","",-($R221-$R221/(1+Datos!$B$2)))</f>
        <v/>
      </c>
      <c r="T221" s="61" t="str">
        <f aca="false">IF($M221="","",-$M221/(1+$L221)*$L221)</f>
        <v/>
      </c>
      <c r="U221" s="61" t="str">
        <f aca="false">IF($M221="","",$C221*$D221)</f>
        <v/>
      </c>
      <c r="V221" s="61" t="str">
        <f aca="false">IF($M221="","",-N($N221))</f>
        <v/>
      </c>
      <c r="W221" s="61" t="str">
        <f aca="false">IF($M221="","",-($V221-$V221/(1+Datos!$B$2)))</f>
        <v/>
      </c>
      <c r="X221" s="61" t="str">
        <f aca="false">IF($M221="","",-$M221*Datos!$C$2)</f>
        <v/>
      </c>
      <c r="Y221" s="61" t="str">
        <f aca="false">IF($M221="","",IFERROR($M221+$U221+$T221+$P221+$Q221+$R221+$S221+$V221+$W221+$X221,"Error"))</f>
        <v/>
      </c>
      <c r="Z221" s="61" t="str">
        <f aca="false">IF($M221="","",IFERROR($Y221-$E221,"Error"))</f>
        <v/>
      </c>
      <c r="AA221" s="60" t="str">
        <f aca="false">IF($M221="","",IFERROR($Z221/($M221+$T221),"Error"))</f>
        <v/>
      </c>
      <c r="AB221" s="62" t="str">
        <f aca="false">IF($M221="","",IFERROR($M221/$E221,"Error"))</f>
        <v/>
      </c>
      <c r="AD221" s="59"/>
      <c r="AE221" s="57"/>
      <c r="AF221" s="58"/>
      <c r="AG221" s="60" t="str">
        <f aca="false">IF(N($AD221)=0,"",IFERROR(($AD221/(1+$L221)-($AD221*$O221+IF($AD221&lt;=15000,1000,IF($AD221&lt;=25000,2000,IF($AD221&lt;=33000,2400,0)))+N($N221))/(1+Datos!$B$2)-$AD221*Datos!$C$2-$C221)/($AD221/(1+$L221)),"Error"))</f>
        <v/>
      </c>
      <c r="AH221" s="61" t="str">
        <f aca="false">IF(N($AD221)=0,"",IFERROR($AD221/(1+$L221)*(1-$AF221)-($AD221*$O221+IF($AD221&lt;=15000,1000,IF($AD221&lt;=25000,2000,IF($AD221&lt;=33000,2400,0)))+N($N221))/(1+Datos!$B$2)-$AD221*Datos!$C$2,"Error"))</f>
        <v/>
      </c>
      <c r="AI221" s="61" t="str">
        <f aca="false">IF($AH221="","",IFERROR($AH221*(1+$D221),"Error"))</f>
        <v/>
      </c>
      <c r="AJ221" s="60" t="str">
        <f aca="false">IF($AH221="","",IFERROR($C221/$AH221-1,"Error"))</f>
        <v/>
      </c>
      <c r="AK221" s="63" t="str">
        <f aca="false">IF($AH221="","",IFERROR(IF($C221&lt;=$AH221,"OK a ese precio","Bajar costo"),"Error"))</f>
        <v/>
      </c>
    </row>
    <row r="222" customFormat="false" ht="15" hidden="false" customHeight="false" outlineLevel="0" collapsed="false">
      <c r="E222" s="0" t="str">
        <f aca="false">IF($C222="","",$C222*(1+$D222))</f>
        <v/>
      </c>
      <c r="J222" s="57"/>
      <c r="K222" s="57"/>
      <c r="L222" s="58"/>
      <c r="M222" s="59"/>
      <c r="N222" s="59"/>
      <c r="O222" s="60" t="str">
        <f aca="false">IF($M222="","",IFERROR(IF($K222="Clásica",VLOOKUP("Argentina"&amp;$J222,Datos!$C:$D,2,0),VLOOKUP("Argentina"&amp;$J222,Datos!$C:$D,2,0)+VLOOKUP("Argentina"&amp;$K222,Datos!$H:$I,2,0)),"Error"))</f>
        <v/>
      </c>
      <c r="P222" s="61" t="str">
        <f aca="false">IF($M222="","",IFERROR(-$M222*$O222,"Error"))</f>
        <v/>
      </c>
      <c r="Q222" s="61" t="str">
        <f aca="false">IF($M222="","",IFERROR(-($P222-$P222/(1+Datos!$B$2)),"Error"))</f>
        <v/>
      </c>
      <c r="R222" s="61" t="str">
        <f aca="false">IF($M222="","",IF($M222&lt;=15000,-1000,IF($M222&lt;=25000,-2000,IF($M222&lt;=33000,-2400,0))))</f>
        <v/>
      </c>
      <c r="S222" s="61" t="str">
        <f aca="false">IF($M222="","",-($R222-$R222/(1+Datos!$B$2)))</f>
        <v/>
      </c>
      <c r="T222" s="61" t="str">
        <f aca="false">IF($M222="","",-$M222/(1+$L222)*$L222)</f>
        <v/>
      </c>
      <c r="U222" s="61" t="str">
        <f aca="false">IF($M222="","",$C222*$D222)</f>
        <v/>
      </c>
      <c r="V222" s="61" t="str">
        <f aca="false">IF($M222="","",-N($N222))</f>
        <v/>
      </c>
      <c r="W222" s="61" t="str">
        <f aca="false">IF($M222="","",-($V222-$V222/(1+Datos!$B$2)))</f>
        <v/>
      </c>
      <c r="X222" s="61" t="str">
        <f aca="false">IF($M222="","",-$M222*Datos!$C$2)</f>
        <v/>
      </c>
      <c r="Y222" s="61" t="str">
        <f aca="false">IF($M222="","",IFERROR($M222+$U222+$T222+$P222+$Q222+$R222+$S222+$V222+$W222+$X222,"Error"))</f>
        <v/>
      </c>
      <c r="Z222" s="61" t="str">
        <f aca="false">IF($M222="","",IFERROR($Y222-$E222,"Error"))</f>
        <v/>
      </c>
      <c r="AA222" s="60" t="str">
        <f aca="false">IF($M222="","",IFERROR($Z222/($M222+$T222),"Error"))</f>
        <v/>
      </c>
      <c r="AB222" s="62" t="str">
        <f aca="false">IF($M222="","",IFERROR($M222/$E222,"Error"))</f>
        <v/>
      </c>
      <c r="AD222" s="59"/>
      <c r="AE222" s="57"/>
      <c r="AF222" s="58"/>
      <c r="AG222" s="60" t="str">
        <f aca="false">IF(N($AD222)=0,"",IFERROR(($AD222/(1+$L222)-($AD222*$O222+IF($AD222&lt;=15000,1000,IF($AD222&lt;=25000,2000,IF($AD222&lt;=33000,2400,0)))+N($N222))/(1+Datos!$B$2)-$AD222*Datos!$C$2-$C222)/($AD222/(1+$L222)),"Error"))</f>
        <v/>
      </c>
      <c r="AH222" s="61" t="str">
        <f aca="false">IF(N($AD222)=0,"",IFERROR($AD222/(1+$L222)*(1-$AF222)-($AD222*$O222+IF($AD222&lt;=15000,1000,IF($AD222&lt;=25000,2000,IF($AD222&lt;=33000,2400,0)))+N($N222))/(1+Datos!$B$2)-$AD222*Datos!$C$2,"Error"))</f>
        <v/>
      </c>
      <c r="AI222" s="61" t="str">
        <f aca="false">IF($AH222="","",IFERROR($AH222*(1+$D222),"Error"))</f>
        <v/>
      </c>
      <c r="AJ222" s="60" t="str">
        <f aca="false">IF($AH222="","",IFERROR($C222/$AH222-1,"Error"))</f>
        <v/>
      </c>
      <c r="AK222" s="63" t="str">
        <f aca="false">IF($AH222="","",IFERROR(IF($C222&lt;=$AH222,"OK a ese precio","Bajar costo"),"Error"))</f>
        <v/>
      </c>
    </row>
    <row r="223" customFormat="false" ht="15" hidden="false" customHeight="false" outlineLevel="0" collapsed="false">
      <c r="E223" s="0" t="str">
        <f aca="false">IF($C223="","",$C223*(1+$D223))</f>
        <v/>
      </c>
      <c r="J223" s="57"/>
      <c r="K223" s="57"/>
      <c r="L223" s="58"/>
      <c r="M223" s="59"/>
      <c r="N223" s="59"/>
      <c r="O223" s="60" t="str">
        <f aca="false">IF($M223="","",IFERROR(IF($K223="Clásica",VLOOKUP("Argentina"&amp;$J223,Datos!$C:$D,2,0),VLOOKUP("Argentina"&amp;$J223,Datos!$C:$D,2,0)+VLOOKUP("Argentina"&amp;$K223,Datos!$H:$I,2,0)),"Error"))</f>
        <v/>
      </c>
      <c r="P223" s="61" t="str">
        <f aca="false">IF($M223="","",IFERROR(-$M223*$O223,"Error"))</f>
        <v/>
      </c>
      <c r="Q223" s="61" t="str">
        <f aca="false">IF($M223="","",IFERROR(-($P223-$P223/(1+Datos!$B$2)),"Error"))</f>
        <v/>
      </c>
      <c r="R223" s="61" t="str">
        <f aca="false">IF($M223="","",IF($M223&lt;=15000,-1000,IF($M223&lt;=25000,-2000,IF($M223&lt;=33000,-2400,0))))</f>
        <v/>
      </c>
      <c r="S223" s="61" t="str">
        <f aca="false">IF($M223="","",-($R223-$R223/(1+Datos!$B$2)))</f>
        <v/>
      </c>
      <c r="T223" s="61" t="str">
        <f aca="false">IF($M223="","",-$M223/(1+$L223)*$L223)</f>
        <v/>
      </c>
      <c r="U223" s="61" t="str">
        <f aca="false">IF($M223="","",$C223*$D223)</f>
        <v/>
      </c>
      <c r="V223" s="61" t="str">
        <f aca="false">IF($M223="","",-N($N223))</f>
        <v/>
      </c>
      <c r="W223" s="61" t="str">
        <f aca="false">IF($M223="","",-($V223-$V223/(1+Datos!$B$2)))</f>
        <v/>
      </c>
      <c r="X223" s="61" t="str">
        <f aca="false">IF($M223="","",-$M223*Datos!$C$2)</f>
        <v/>
      </c>
      <c r="Y223" s="61" t="str">
        <f aca="false">IF($M223="","",IFERROR($M223+$U223+$T223+$P223+$Q223+$R223+$S223+$V223+$W223+$X223,"Error"))</f>
        <v/>
      </c>
      <c r="Z223" s="61" t="str">
        <f aca="false">IF($M223="","",IFERROR($Y223-$E223,"Error"))</f>
        <v/>
      </c>
      <c r="AA223" s="60" t="str">
        <f aca="false">IF($M223="","",IFERROR($Z223/($M223+$T223),"Error"))</f>
        <v/>
      </c>
      <c r="AB223" s="62" t="str">
        <f aca="false">IF($M223="","",IFERROR($M223/$E223,"Error"))</f>
        <v/>
      </c>
      <c r="AD223" s="59"/>
      <c r="AE223" s="57"/>
      <c r="AF223" s="58"/>
      <c r="AG223" s="60" t="str">
        <f aca="false">IF(N($AD223)=0,"",IFERROR(($AD223/(1+$L223)-($AD223*$O223+IF($AD223&lt;=15000,1000,IF($AD223&lt;=25000,2000,IF($AD223&lt;=33000,2400,0)))+N($N223))/(1+Datos!$B$2)-$AD223*Datos!$C$2-$C223)/($AD223/(1+$L223)),"Error"))</f>
        <v/>
      </c>
      <c r="AH223" s="61" t="str">
        <f aca="false">IF(N($AD223)=0,"",IFERROR($AD223/(1+$L223)*(1-$AF223)-($AD223*$O223+IF($AD223&lt;=15000,1000,IF($AD223&lt;=25000,2000,IF($AD223&lt;=33000,2400,0)))+N($N223))/(1+Datos!$B$2)-$AD223*Datos!$C$2,"Error"))</f>
        <v/>
      </c>
      <c r="AI223" s="61" t="str">
        <f aca="false">IF($AH223="","",IFERROR($AH223*(1+$D223),"Error"))</f>
        <v/>
      </c>
      <c r="AJ223" s="60" t="str">
        <f aca="false">IF($AH223="","",IFERROR($C223/$AH223-1,"Error"))</f>
        <v/>
      </c>
      <c r="AK223" s="63" t="str">
        <f aca="false">IF($AH223="","",IFERROR(IF($C223&lt;=$AH223,"OK a ese precio","Bajar costo"),"Error"))</f>
        <v/>
      </c>
    </row>
    <row r="224" customFormat="false" ht="15" hidden="false" customHeight="false" outlineLevel="0" collapsed="false">
      <c r="E224" s="0" t="str">
        <f aca="false">IF($C224="","",$C224*(1+$D224))</f>
        <v/>
      </c>
      <c r="J224" s="57"/>
      <c r="K224" s="57"/>
      <c r="L224" s="58"/>
      <c r="M224" s="59"/>
      <c r="N224" s="59"/>
      <c r="O224" s="60" t="str">
        <f aca="false">IF($M224="","",IFERROR(IF($K224="Clásica",VLOOKUP("Argentina"&amp;$J224,Datos!$C:$D,2,0),VLOOKUP("Argentina"&amp;$J224,Datos!$C:$D,2,0)+VLOOKUP("Argentina"&amp;$K224,Datos!$H:$I,2,0)),"Error"))</f>
        <v/>
      </c>
      <c r="P224" s="61" t="str">
        <f aca="false">IF($M224="","",IFERROR(-$M224*$O224,"Error"))</f>
        <v/>
      </c>
      <c r="Q224" s="61" t="str">
        <f aca="false">IF($M224="","",IFERROR(-($P224-$P224/(1+Datos!$B$2)),"Error"))</f>
        <v/>
      </c>
      <c r="R224" s="61" t="str">
        <f aca="false">IF($M224="","",IF($M224&lt;=15000,-1000,IF($M224&lt;=25000,-2000,IF($M224&lt;=33000,-2400,0))))</f>
        <v/>
      </c>
      <c r="S224" s="61" t="str">
        <f aca="false">IF($M224="","",-($R224-$R224/(1+Datos!$B$2)))</f>
        <v/>
      </c>
      <c r="T224" s="61" t="str">
        <f aca="false">IF($M224="","",-$M224/(1+$L224)*$L224)</f>
        <v/>
      </c>
      <c r="U224" s="61" t="str">
        <f aca="false">IF($M224="","",$C224*$D224)</f>
        <v/>
      </c>
      <c r="V224" s="61" t="str">
        <f aca="false">IF($M224="","",-N($N224))</f>
        <v/>
      </c>
      <c r="W224" s="61" t="str">
        <f aca="false">IF($M224="","",-($V224-$V224/(1+Datos!$B$2)))</f>
        <v/>
      </c>
      <c r="X224" s="61" t="str">
        <f aca="false">IF($M224="","",-$M224*Datos!$C$2)</f>
        <v/>
      </c>
      <c r="Y224" s="61" t="str">
        <f aca="false">IF($M224="","",IFERROR($M224+$U224+$T224+$P224+$Q224+$R224+$S224+$V224+$W224+$X224,"Error"))</f>
        <v/>
      </c>
      <c r="Z224" s="61" t="str">
        <f aca="false">IF($M224="","",IFERROR($Y224-$E224,"Error"))</f>
        <v/>
      </c>
      <c r="AA224" s="60" t="str">
        <f aca="false">IF($M224="","",IFERROR($Z224/($M224+$T224),"Error"))</f>
        <v/>
      </c>
      <c r="AB224" s="62" t="str">
        <f aca="false">IF($M224="","",IFERROR($M224/$E224,"Error"))</f>
        <v/>
      </c>
      <c r="AD224" s="59"/>
      <c r="AE224" s="57"/>
      <c r="AF224" s="58"/>
      <c r="AG224" s="60" t="str">
        <f aca="false">IF(N($AD224)=0,"",IFERROR(($AD224/(1+$L224)-($AD224*$O224+IF($AD224&lt;=15000,1000,IF($AD224&lt;=25000,2000,IF($AD224&lt;=33000,2400,0)))+N($N224))/(1+Datos!$B$2)-$AD224*Datos!$C$2-$C224)/($AD224/(1+$L224)),"Error"))</f>
        <v/>
      </c>
      <c r="AH224" s="61" t="str">
        <f aca="false">IF(N($AD224)=0,"",IFERROR($AD224/(1+$L224)*(1-$AF224)-($AD224*$O224+IF($AD224&lt;=15000,1000,IF($AD224&lt;=25000,2000,IF($AD224&lt;=33000,2400,0)))+N($N224))/(1+Datos!$B$2)-$AD224*Datos!$C$2,"Error"))</f>
        <v/>
      </c>
      <c r="AI224" s="61" t="str">
        <f aca="false">IF($AH224="","",IFERROR($AH224*(1+$D224),"Error"))</f>
        <v/>
      </c>
      <c r="AJ224" s="60" t="str">
        <f aca="false">IF($AH224="","",IFERROR($C224/$AH224-1,"Error"))</f>
        <v/>
      </c>
      <c r="AK224" s="63" t="str">
        <f aca="false">IF($AH224="","",IFERROR(IF($C224&lt;=$AH224,"OK a ese precio","Bajar costo"),"Error"))</f>
        <v/>
      </c>
    </row>
    <row r="225" customFormat="false" ht="15" hidden="false" customHeight="false" outlineLevel="0" collapsed="false">
      <c r="E225" s="0" t="str">
        <f aca="false">IF($C225="","",$C225*(1+$D225))</f>
        <v/>
      </c>
      <c r="J225" s="57"/>
      <c r="K225" s="57"/>
      <c r="L225" s="58"/>
      <c r="M225" s="59"/>
      <c r="N225" s="59"/>
      <c r="O225" s="60" t="str">
        <f aca="false">IF($M225="","",IFERROR(IF($K225="Clásica",VLOOKUP("Argentina"&amp;$J225,Datos!$C:$D,2,0),VLOOKUP("Argentina"&amp;$J225,Datos!$C:$D,2,0)+VLOOKUP("Argentina"&amp;$K225,Datos!$H:$I,2,0)),"Error"))</f>
        <v/>
      </c>
      <c r="P225" s="61" t="str">
        <f aca="false">IF($M225="","",IFERROR(-$M225*$O225,"Error"))</f>
        <v/>
      </c>
      <c r="Q225" s="61" t="str">
        <f aca="false">IF($M225="","",IFERROR(-($P225-$P225/(1+Datos!$B$2)),"Error"))</f>
        <v/>
      </c>
      <c r="R225" s="61" t="str">
        <f aca="false">IF($M225="","",IF($M225&lt;=15000,-1000,IF($M225&lt;=25000,-2000,IF($M225&lt;=33000,-2400,0))))</f>
        <v/>
      </c>
      <c r="S225" s="61" t="str">
        <f aca="false">IF($M225="","",-($R225-$R225/(1+Datos!$B$2)))</f>
        <v/>
      </c>
      <c r="T225" s="61" t="str">
        <f aca="false">IF($M225="","",-$M225/(1+$L225)*$L225)</f>
        <v/>
      </c>
      <c r="U225" s="61" t="str">
        <f aca="false">IF($M225="","",$C225*$D225)</f>
        <v/>
      </c>
      <c r="V225" s="61" t="str">
        <f aca="false">IF($M225="","",-N($N225))</f>
        <v/>
      </c>
      <c r="W225" s="61" t="str">
        <f aca="false">IF($M225="","",-($V225-$V225/(1+Datos!$B$2)))</f>
        <v/>
      </c>
      <c r="X225" s="61" t="str">
        <f aca="false">IF($M225="","",-$M225*Datos!$C$2)</f>
        <v/>
      </c>
      <c r="Y225" s="61" t="str">
        <f aca="false">IF($M225="","",IFERROR($M225+$U225+$T225+$P225+$Q225+$R225+$S225+$V225+$W225+$X225,"Error"))</f>
        <v/>
      </c>
      <c r="Z225" s="61" t="str">
        <f aca="false">IF($M225="","",IFERROR($Y225-$E225,"Error"))</f>
        <v/>
      </c>
      <c r="AA225" s="60" t="str">
        <f aca="false">IF($M225="","",IFERROR($Z225/($M225+$T225),"Error"))</f>
        <v/>
      </c>
      <c r="AB225" s="62" t="str">
        <f aca="false">IF($M225="","",IFERROR($M225/$E225,"Error"))</f>
        <v/>
      </c>
      <c r="AD225" s="59"/>
      <c r="AE225" s="57"/>
      <c r="AF225" s="58"/>
      <c r="AG225" s="60" t="str">
        <f aca="false">IF(N($AD225)=0,"",IFERROR(($AD225/(1+$L225)-($AD225*$O225+IF($AD225&lt;=15000,1000,IF($AD225&lt;=25000,2000,IF($AD225&lt;=33000,2400,0)))+N($N225))/(1+Datos!$B$2)-$AD225*Datos!$C$2-$C225)/($AD225/(1+$L225)),"Error"))</f>
        <v/>
      </c>
      <c r="AH225" s="61" t="str">
        <f aca="false">IF(N($AD225)=0,"",IFERROR($AD225/(1+$L225)*(1-$AF225)-($AD225*$O225+IF($AD225&lt;=15000,1000,IF($AD225&lt;=25000,2000,IF($AD225&lt;=33000,2400,0)))+N($N225))/(1+Datos!$B$2)-$AD225*Datos!$C$2,"Error"))</f>
        <v/>
      </c>
      <c r="AI225" s="61" t="str">
        <f aca="false">IF($AH225="","",IFERROR($AH225*(1+$D225),"Error"))</f>
        <v/>
      </c>
      <c r="AJ225" s="60" t="str">
        <f aca="false">IF($AH225="","",IFERROR($C225/$AH225-1,"Error"))</f>
        <v/>
      </c>
      <c r="AK225" s="63" t="str">
        <f aca="false">IF($AH225="","",IFERROR(IF($C225&lt;=$AH225,"OK a ese precio","Bajar costo"),"Error"))</f>
        <v/>
      </c>
    </row>
    <row r="226" customFormat="false" ht="15" hidden="false" customHeight="false" outlineLevel="0" collapsed="false">
      <c r="E226" s="0" t="str">
        <f aca="false">IF($C226="","",$C226*(1+$D226))</f>
        <v/>
      </c>
      <c r="J226" s="57"/>
      <c r="K226" s="57"/>
      <c r="L226" s="58"/>
      <c r="M226" s="59"/>
      <c r="N226" s="59"/>
      <c r="O226" s="60" t="str">
        <f aca="false">IF($M226="","",IFERROR(IF($K226="Clásica",VLOOKUP("Argentina"&amp;$J226,Datos!$C:$D,2,0),VLOOKUP("Argentina"&amp;$J226,Datos!$C:$D,2,0)+VLOOKUP("Argentina"&amp;$K226,Datos!$H:$I,2,0)),"Error"))</f>
        <v/>
      </c>
      <c r="P226" s="61" t="str">
        <f aca="false">IF($M226="","",IFERROR(-$M226*$O226,"Error"))</f>
        <v/>
      </c>
      <c r="Q226" s="61" t="str">
        <f aca="false">IF($M226="","",IFERROR(-($P226-$P226/(1+Datos!$B$2)),"Error"))</f>
        <v/>
      </c>
      <c r="R226" s="61" t="str">
        <f aca="false">IF($M226="","",IF($M226&lt;=15000,-1000,IF($M226&lt;=25000,-2000,IF($M226&lt;=33000,-2400,0))))</f>
        <v/>
      </c>
      <c r="S226" s="61" t="str">
        <f aca="false">IF($M226="","",-($R226-$R226/(1+Datos!$B$2)))</f>
        <v/>
      </c>
      <c r="T226" s="61" t="str">
        <f aca="false">IF($M226="","",-$M226/(1+$L226)*$L226)</f>
        <v/>
      </c>
      <c r="U226" s="61" t="str">
        <f aca="false">IF($M226="","",$C226*$D226)</f>
        <v/>
      </c>
      <c r="V226" s="61" t="str">
        <f aca="false">IF($M226="","",-N($N226))</f>
        <v/>
      </c>
      <c r="W226" s="61" t="str">
        <f aca="false">IF($M226="","",-($V226-$V226/(1+Datos!$B$2)))</f>
        <v/>
      </c>
      <c r="X226" s="61" t="str">
        <f aca="false">IF($M226="","",-$M226*Datos!$C$2)</f>
        <v/>
      </c>
      <c r="Y226" s="61" t="str">
        <f aca="false">IF($M226="","",IFERROR($M226+$U226+$T226+$P226+$Q226+$R226+$S226+$V226+$W226+$X226,"Error"))</f>
        <v/>
      </c>
      <c r="Z226" s="61" t="str">
        <f aca="false">IF($M226="","",IFERROR($Y226-$E226,"Error"))</f>
        <v/>
      </c>
      <c r="AA226" s="60" t="str">
        <f aca="false">IF($M226="","",IFERROR($Z226/($M226+$T226),"Error"))</f>
        <v/>
      </c>
      <c r="AB226" s="62" t="str">
        <f aca="false">IF($M226="","",IFERROR($M226/$E226,"Error"))</f>
        <v/>
      </c>
      <c r="AD226" s="59"/>
      <c r="AE226" s="57"/>
      <c r="AF226" s="58"/>
      <c r="AG226" s="60" t="str">
        <f aca="false">IF(N($AD226)=0,"",IFERROR(($AD226/(1+$L226)-($AD226*$O226+IF($AD226&lt;=15000,1000,IF($AD226&lt;=25000,2000,IF($AD226&lt;=33000,2400,0)))+N($N226))/(1+Datos!$B$2)-$AD226*Datos!$C$2-$C226)/($AD226/(1+$L226)),"Error"))</f>
        <v/>
      </c>
      <c r="AH226" s="61" t="str">
        <f aca="false">IF(N($AD226)=0,"",IFERROR($AD226/(1+$L226)*(1-$AF226)-($AD226*$O226+IF($AD226&lt;=15000,1000,IF($AD226&lt;=25000,2000,IF($AD226&lt;=33000,2400,0)))+N($N226))/(1+Datos!$B$2)-$AD226*Datos!$C$2,"Error"))</f>
        <v/>
      </c>
      <c r="AI226" s="61" t="str">
        <f aca="false">IF($AH226="","",IFERROR($AH226*(1+$D226),"Error"))</f>
        <v/>
      </c>
      <c r="AJ226" s="60" t="str">
        <f aca="false">IF($AH226="","",IFERROR($C226/$AH226-1,"Error"))</f>
        <v/>
      </c>
      <c r="AK226" s="63" t="str">
        <f aca="false">IF($AH226="","",IFERROR(IF($C226&lt;=$AH226,"OK a ese precio","Bajar costo"),"Error"))</f>
        <v/>
      </c>
    </row>
    <row r="227" customFormat="false" ht="15" hidden="false" customHeight="false" outlineLevel="0" collapsed="false">
      <c r="E227" s="0" t="str">
        <f aca="false">IF($C227="","",$C227*(1+$D227))</f>
        <v/>
      </c>
      <c r="J227" s="57"/>
      <c r="K227" s="57"/>
      <c r="L227" s="58"/>
      <c r="M227" s="59"/>
      <c r="N227" s="59"/>
      <c r="O227" s="60" t="str">
        <f aca="false">IF($M227="","",IFERROR(IF($K227="Clásica",VLOOKUP("Argentina"&amp;$J227,Datos!$C:$D,2,0),VLOOKUP("Argentina"&amp;$J227,Datos!$C:$D,2,0)+VLOOKUP("Argentina"&amp;$K227,Datos!$H:$I,2,0)),"Error"))</f>
        <v/>
      </c>
      <c r="P227" s="61" t="str">
        <f aca="false">IF($M227="","",IFERROR(-$M227*$O227,"Error"))</f>
        <v/>
      </c>
      <c r="Q227" s="61" t="str">
        <f aca="false">IF($M227="","",IFERROR(-($P227-$P227/(1+Datos!$B$2)),"Error"))</f>
        <v/>
      </c>
      <c r="R227" s="61" t="str">
        <f aca="false">IF($M227="","",IF($M227&lt;=15000,-1000,IF($M227&lt;=25000,-2000,IF($M227&lt;=33000,-2400,0))))</f>
        <v/>
      </c>
      <c r="S227" s="61" t="str">
        <f aca="false">IF($M227="","",-($R227-$R227/(1+Datos!$B$2)))</f>
        <v/>
      </c>
      <c r="T227" s="61" t="str">
        <f aca="false">IF($M227="","",-$M227/(1+$L227)*$L227)</f>
        <v/>
      </c>
      <c r="U227" s="61" t="str">
        <f aca="false">IF($M227="","",$C227*$D227)</f>
        <v/>
      </c>
      <c r="V227" s="61" t="str">
        <f aca="false">IF($M227="","",-N($N227))</f>
        <v/>
      </c>
      <c r="W227" s="61" t="str">
        <f aca="false">IF($M227="","",-($V227-$V227/(1+Datos!$B$2)))</f>
        <v/>
      </c>
      <c r="X227" s="61" t="str">
        <f aca="false">IF($M227="","",-$M227*Datos!$C$2)</f>
        <v/>
      </c>
      <c r="Y227" s="61" t="str">
        <f aca="false">IF($M227="","",IFERROR($M227+$U227+$T227+$P227+$Q227+$R227+$S227+$V227+$W227+$X227,"Error"))</f>
        <v/>
      </c>
      <c r="Z227" s="61" t="str">
        <f aca="false">IF($M227="","",IFERROR($Y227-$E227,"Error"))</f>
        <v/>
      </c>
      <c r="AA227" s="60" t="str">
        <f aca="false">IF($M227="","",IFERROR($Z227/($M227+$T227),"Error"))</f>
        <v/>
      </c>
      <c r="AB227" s="62" t="str">
        <f aca="false">IF($M227="","",IFERROR($M227/$E227,"Error"))</f>
        <v/>
      </c>
      <c r="AD227" s="59"/>
      <c r="AE227" s="57"/>
      <c r="AF227" s="58"/>
      <c r="AG227" s="60" t="str">
        <f aca="false">IF(N($AD227)=0,"",IFERROR(($AD227/(1+$L227)-($AD227*$O227+IF($AD227&lt;=15000,1000,IF($AD227&lt;=25000,2000,IF($AD227&lt;=33000,2400,0)))+N($N227))/(1+Datos!$B$2)-$AD227*Datos!$C$2-$C227)/($AD227/(1+$L227)),"Error"))</f>
        <v/>
      </c>
      <c r="AH227" s="61" t="str">
        <f aca="false">IF(N($AD227)=0,"",IFERROR($AD227/(1+$L227)*(1-$AF227)-($AD227*$O227+IF($AD227&lt;=15000,1000,IF($AD227&lt;=25000,2000,IF($AD227&lt;=33000,2400,0)))+N($N227))/(1+Datos!$B$2)-$AD227*Datos!$C$2,"Error"))</f>
        <v/>
      </c>
      <c r="AI227" s="61" t="str">
        <f aca="false">IF($AH227="","",IFERROR($AH227*(1+$D227),"Error"))</f>
        <v/>
      </c>
      <c r="AJ227" s="60" t="str">
        <f aca="false">IF($AH227="","",IFERROR($C227/$AH227-1,"Error"))</f>
        <v/>
      </c>
      <c r="AK227" s="63" t="str">
        <f aca="false">IF($AH227="","",IFERROR(IF($C227&lt;=$AH227,"OK a ese precio","Bajar costo"),"Error"))</f>
        <v/>
      </c>
    </row>
    <row r="228" customFormat="false" ht="15" hidden="false" customHeight="false" outlineLevel="0" collapsed="false">
      <c r="E228" s="0" t="str">
        <f aca="false">IF($C228="","",$C228*(1+$D228))</f>
        <v/>
      </c>
      <c r="J228" s="57"/>
      <c r="K228" s="57"/>
      <c r="L228" s="58"/>
      <c r="M228" s="59"/>
      <c r="N228" s="59"/>
      <c r="O228" s="60" t="str">
        <f aca="false">IF($M228="","",IFERROR(IF($K228="Clásica",VLOOKUP("Argentina"&amp;$J228,Datos!$C:$D,2,0),VLOOKUP("Argentina"&amp;$J228,Datos!$C:$D,2,0)+VLOOKUP("Argentina"&amp;$K228,Datos!$H:$I,2,0)),"Error"))</f>
        <v/>
      </c>
      <c r="P228" s="61" t="str">
        <f aca="false">IF($M228="","",IFERROR(-$M228*$O228,"Error"))</f>
        <v/>
      </c>
      <c r="Q228" s="61" t="str">
        <f aca="false">IF($M228="","",IFERROR(-($P228-$P228/(1+Datos!$B$2)),"Error"))</f>
        <v/>
      </c>
      <c r="R228" s="61" t="str">
        <f aca="false">IF($M228="","",IF($M228&lt;=15000,-1000,IF($M228&lt;=25000,-2000,IF($M228&lt;=33000,-2400,0))))</f>
        <v/>
      </c>
      <c r="S228" s="61" t="str">
        <f aca="false">IF($M228="","",-($R228-$R228/(1+Datos!$B$2)))</f>
        <v/>
      </c>
      <c r="T228" s="61" t="str">
        <f aca="false">IF($M228="","",-$M228/(1+$L228)*$L228)</f>
        <v/>
      </c>
      <c r="U228" s="61" t="str">
        <f aca="false">IF($M228="","",$C228*$D228)</f>
        <v/>
      </c>
      <c r="V228" s="61" t="str">
        <f aca="false">IF($M228="","",-N($N228))</f>
        <v/>
      </c>
      <c r="W228" s="61" t="str">
        <f aca="false">IF($M228="","",-($V228-$V228/(1+Datos!$B$2)))</f>
        <v/>
      </c>
      <c r="X228" s="61" t="str">
        <f aca="false">IF($M228="","",-$M228*Datos!$C$2)</f>
        <v/>
      </c>
      <c r="Y228" s="61" t="str">
        <f aca="false">IF($M228="","",IFERROR($M228+$U228+$T228+$P228+$Q228+$R228+$S228+$V228+$W228+$X228,"Error"))</f>
        <v/>
      </c>
      <c r="Z228" s="61" t="str">
        <f aca="false">IF($M228="","",IFERROR($Y228-$E228,"Error"))</f>
        <v/>
      </c>
      <c r="AA228" s="60" t="str">
        <f aca="false">IF($M228="","",IFERROR($Z228/($M228+$T228),"Error"))</f>
        <v/>
      </c>
      <c r="AB228" s="62" t="str">
        <f aca="false">IF($M228="","",IFERROR($M228/$E228,"Error"))</f>
        <v/>
      </c>
      <c r="AD228" s="59"/>
      <c r="AE228" s="57"/>
      <c r="AF228" s="58"/>
      <c r="AG228" s="60" t="str">
        <f aca="false">IF(N($AD228)=0,"",IFERROR(($AD228/(1+$L228)-($AD228*$O228+IF($AD228&lt;=15000,1000,IF($AD228&lt;=25000,2000,IF($AD228&lt;=33000,2400,0)))+N($N228))/(1+Datos!$B$2)-$AD228*Datos!$C$2-$C228)/($AD228/(1+$L228)),"Error"))</f>
        <v/>
      </c>
      <c r="AH228" s="61" t="str">
        <f aca="false">IF(N($AD228)=0,"",IFERROR($AD228/(1+$L228)*(1-$AF228)-($AD228*$O228+IF($AD228&lt;=15000,1000,IF($AD228&lt;=25000,2000,IF($AD228&lt;=33000,2400,0)))+N($N228))/(1+Datos!$B$2)-$AD228*Datos!$C$2,"Error"))</f>
        <v/>
      </c>
      <c r="AI228" s="61" t="str">
        <f aca="false">IF($AH228="","",IFERROR($AH228*(1+$D228),"Error"))</f>
        <v/>
      </c>
      <c r="AJ228" s="60" t="str">
        <f aca="false">IF($AH228="","",IFERROR($C228/$AH228-1,"Error"))</f>
        <v/>
      </c>
      <c r="AK228" s="63" t="str">
        <f aca="false">IF($AH228="","",IFERROR(IF($C228&lt;=$AH228,"OK a ese precio","Bajar costo"),"Error"))</f>
        <v/>
      </c>
    </row>
    <row r="229" customFormat="false" ht="15" hidden="false" customHeight="false" outlineLevel="0" collapsed="false">
      <c r="E229" s="0" t="str">
        <f aca="false">IF($C229="","",$C229*(1+$D229))</f>
        <v/>
      </c>
      <c r="J229" s="57"/>
      <c r="K229" s="57"/>
      <c r="L229" s="58"/>
      <c r="M229" s="59"/>
      <c r="N229" s="59"/>
      <c r="O229" s="60" t="str">
        <f aca="false">IF($M229="","",IFERROR(IF($K229="Clásica",VLOOKUP("Argentina"&amp;$J229,Datos!$C:$D,2,0),VLOOKUP("Argentina"&amp;$J229,Datos!$C:$D,2,0)+VLOOKUP("Argentina"&amp;$K229,Datos!$H:$I,2,0)),"Error"))</f>
        <v/>
      </c>
      <c r="P229" s="61" t="str">
        <f aca="false">IF($M229="","",IFERROR(-$M229*$O229,"Error"))</f>
        <v/>
      </c>
      <c r="Q229" s="61" t="str">
        <f aca="false">IF($M229="","",IFERROR(-($P229-$P229/(1+Datos!$B$2)),"Error"))</f>
        <v/>
      </c>
      <c r="R229" s="61" t="str">
        <f aca="false">IF($M229="","",IF($M229&lt;=15000,-1000,IF($M229&lt;=25000,-2000,IF($M229&lt;=33000,-2400,0))))</f>
        <v/>
      </c>
      <c r="S229" s="61" t="str">
        <f aca="false">IF($M229="","",-($R229-$R229/(1+Datos!$B$2)))</f>
        <v/>
      </c>
      <c r="T229" s="61" t="str">
        <f aca="false">IF($M229="","",-$M229/(1+$L229)*$L229)</f>
        <v/>
      </c>
      <c r="U229" s="61" t="str">
        <f aca="false">IF($M229="","",$C229*$D229)</f>
        <v/>
      </c>
      <c r="V229" s="61" t="str">
        <f aca="false">IF($M229="","",-N($N229))</f>
        <v/>
      </c>
      <c r="W229" s="61" t="str">
        <f aca="false">IF($M229="","",-($V229-$V229/(1+Datos!$B$2)))</f>
        <v/>
      </c>
      <c r="X229" s="61" t="str">
        <f aca="false">IF($M229="","",-$M229*Datos!$C$2)</f>
        <v/>
      </c>
      <c r="Y229" s="61" t="str">
        <f aca="false">IF($M229="","",IFERROR($M229+$U229+$T229+$P229+$Q229+$R229+$S229+$V229+$W229+$X229,"Error"))</f>
        <v/>
      </c>
      <c r="Z229" s="61" t="str">
        <f aca="false">IF($M229="","",IFERROR($Y229-$E229,"Error"))</f>
        <v/>
      </c>
      <c r="AA229" s="60" t="str">
        <f aca="false">IF($M229="","",IFERROR($Z229/($M229+$T229),"Error"))</f>
        <v/>
      </c>
      <c r="AB229" s="62" t="str">
        <f aca="false">IF($M229="","",IFERROR($M229/$E229,"Error"))</f>
        <v/>
      </c>
      <c r="AD229" s="59"/>
      <c r="AE229" s="57"/>
      <c r="AF229" s="58"/>
      <c r="AG229" s="60" t="str">
        <f aca="false">IF(N($AD229)=0,"",IFERROR(($AD229/(1+$L229)-($AD229*$O229+IF($AD229&lt;=15000,1000,IF($AD229&lt;=25000,2000,IF($AD229&lt;=33000,2400,0)))+N($N229))/(1+Datos!$B$2)-$AD229*Datos!$C$2-$C229)/($AD229/(1+$L229)),"Error"))</f>
        <v/>
      </c>
      <c r="AH229" s="61" t="str">
        <f aca="false">IF(N($AD229)=0,"",IFERROR($AD229/(1+$L229)*(1-$AF229)-($AD229*$O229+IF($AD229&lt;=15000,1000,IF($AD229&lt;=25000,2000,IF($AD229&lt;=33000,2400,0)))+N($N229))/(1+Datos!$B$2)-$AD229*Datos!$C$2,"Error"))</f>
        <v/>
      </c>
      <c r="AI229" s="61" t="str">
        <f aca="false">IF($AH229="","",IFERROR($AH229*(1+$D229),"Error"))</f>
        <v/>
      </c>
      <c r="AJ229" s="60" t="str">
        <f aca="false">IF($AH229="","",IFERROR($C229/$AH229-1,"Error"))</f>
        <v/>
      </c>
      <c r="AK229" s="63" t="str">
        <f aca="false">IF($AH229="","",IFERROR(IF($C229&lt;=$AH229,"OK a ese precio","Bajar costo"),"Error"))</f>
        <v/>
      </c>
    </row>
    <row r="230" customFormat="false" ht="15" hidden="false" customHeight="false" outlineLevel="0" collapsed="false">
      <c r="E230" s="0" t="str">
        <f aca="false">IF($C230="","",$C230*(1+$D230))</f>
        <v/>
      </c>
      <c r="J230" s="57"/>
      <c r="K230" s="57"/>
      <c r="L230" s="58"/>
      <c r="M230" s="59"/>
      <c r="N230" s="59"/>
      <c r="O230" s="60" t="str">
        <f aca="false">IF($M230="","",IFERROR(IF($K230="Clásica",VLOOKUP("Argentina"&amp;$J230,Datos!$C:$D,2,0),VLOOKUP("Argentina"&amp;$J230,Datos!$C:$D,2,0)+VLOOKUP("Argentina"&amp;$K230,Datos!$H:$I,2,0)),"Error"))</f>
        <v/>
      </c>
      <c r="P230" s="61" t="str">
        <f aca="false">IF($M230="","",IFERROR(-$M230*$O230,"Error"))</f>
        <v/>
      </c>
      <c r="Q230" s="61" t="str">
        <f aca="false">IF($M230="","",IFERROR(-($P230-$P230/(1+Datos!$B$2)),"Error"))</f>
        <v/>
      </c>
      <c r="R230" s="61" t="str">
        <f aca="false">IF($M230="","",IF($M230&lt;=15000,-1000,IF($M230&lt;=25000,-2000,IF($M230&lt;=33000,-2400,0))))</f>
        <v/>
      </c>
      <c r="S230" s="61" t="str">
        <f aca="false">IF($M230="","",-($R230-$R230/(1+Datos!$B$2)))</f>
        <v/>
      </c>
      <c r="T230" s="61" t="str">
        <f aca="false">IF($M230="","",-$M230/(1+$L230)*$L230)</f>
        <v/>
      </c>
      <c r="U230" s="61" t="str">
        <f aca="false">IF($M230="","",$C230*$D230)</f>
        <v/>
      </c>
      <c r="V230" s="61" t="str">
        <f aca="false">IF($M230="","",-N($N230))</f>
        <v/>
      </c>
      <c r="W230" s="61" t="str">
        <f aca="false">IF($M230="","",-($V230-$V230/(1+Datos!$B$2)))</f>
        <v/>
      </c>
      <c r="X230" s="61" t="str">
        <f aca="false">IF($M230="","",-$M230*Datos!$C$2)</f>
        <v/>
      </c>
      <c r="Y230" s="61" t="str">
        <f aca="false">IF($M230="","",IFERROR($M230+$U230+$T230+$P230+$Q230+$R230+$S230+$V230+$W230+$X230,"Error"))</f>
        <v/>
      </c>
      <c r="Z230" s="61" t="str">
        <f aca="false">IF($M230="","",IFERROR($Y230-$E230,"Error"))</f>
        <v/>
      </c>
      <c r="AA230" s="60" t="str">
        <f aca="false">IF($M230="","",IFERROR($Z230/($M230+$T230),"Error"))</f>
        <v/>
      </c>
      <c r="AB230" s="62" t="str">
        <f aca="false">IF($M230="","",IFERROR($M230/$E230,"Error"))</f>
        <v/>
      </c>
      <c r="AD230" s="59"/>
      <c r="AE230" s="57"/>
      <c r="AF230" s="58"/>
      <c r="AG230" s="60" t="str">
        <f aca="false">IF(N($AD230)=0,"",IFERROR(($AD230/(1+$L230)-($AD230*$O230+IF($AD230&lt;=15000,1000,IF($AD230&lt;=25000,2000,IF($AD230&lt;=33000,2400,0)))+N($N230))/(1+Datos!$B$2)-$AD230*Datos!$C$2-$C230)/($AD230/(1+$L230)),"Error"))</f>
        <v/>
      </c>
      <c r="AH230" s="61" t="str">
        <f aca="false">IF(N($AD230)=0,"",IFERROR($AD230/(1+$L230)*(1-$AF230)-($AD230*$O230+IF($AD230&lt;=15000,1000,IF($AD230&lt;=25000,2000,IF($AD230&lt;=33000,2400,0)))+N($N230))/(1+Datos!$B$2)-$AD230*Datos!$C$2,"Error"))</f>
        <v/>
      </c>
      <c r="AI230" s="61" t="str">
        <f aca="false">IF($AH230="","",IFERROR($AH230*(1+$D230),"Error"))</f>
        <v/>
      </c>
      <c r="AJ230" s="60" t="str">
        <f aca="false">IF($AH230="","",IFERROR($C230/$AH230-1,"Error"))</f>
        <v/>
      </c>
      <c r="AK230" s="63" t="str">
        <f aca="false">IF($AH230="","",IFERROR(IF($C230&lt;=$AH230,"OK a ese precio","Bajar costo"),"Error"))</f>
        <v/>
      </c>
    </row>
    <row r="231" customFormat="false" ht="15" hidden="false" customHeight="false" outlineLevel="0" collapsed="false">
      <c r="E231" s="0" t="str">
        <f aca="false">IF($C231="","",$C231*(1+$D231))</f>
        <v/>
      </c>
      <c r="J231" s="57"/>
      <c r="K231" s="57"/>
      <c r="L231" s="58"/>
      <c r="M231" s="59"/>
      <c r="N231" s="59"/>
      <c r="O231" s="60" t="str">
        <f aca="false">IF($M231="","",IFERROR(IF($K231="Clásica",VLOOKUP("Argentina"&amp;$J231,Datos!$C:$D,2,0),VLOOKUP("Argentina"&amp;$J231,Datos!$C:$D,2,0)+VLOOKUP("Argentina"&amp;$K231,Datos!$H:$I,2,0)),"Error"))</f>
        <v/>
      </c>
      <c r="P231" s="61" t="str">
        <f aca="false">IF($M231="","",IFERROR(-$M231*$O231,"Error"))</f>
        <v/>
      </c>
      <c r="Q231" s="61" t="str">
        <f aca="false">IF($M231="","",IFERROR(-($P231-$P231/(1+Datos!$B$2)),"Error"))</f>
        <v/>
      </c>
      <c r="R231" s="61" t="str">
        <f aca="false">IF($M231="","",IF($M231&lt;=15000,-1000,IF($M231&lt;=25000,-2000,IF($M231&lt;=33000,-2400,0))))</f>
        <v/>
      </c>
      <c r="S231" s="61" t="str">
        <f aca="false">IF($M231="","",-($R231-$R231/(1+Datos!$B$2)))</f>
        <v/>
      </c>
      <c r="T231" s="61" t="str">
        <f aca="false">IF($M231="","",-$M231/(1+$L231)*$L231)</f>
        <v/>
      </c>
      <c r="U231" s="61" t="str">
        <f aca="false">IF($M231="","",$C231*$D231)</f>
        <v/>
      </c>
      <c r="V231" s="61" t="str">
        <f aca="false">IF($M231="","",-N($N231))</f>
        <v/>
      </c>
      <c r="W231" s="61" t="str">
        <f aca="false">IF($M231="","",-($V231-$V231/(1+Datos!$B$2)))</f>
        <v/>
      </c>
      <c r="X231" s="61" t="str">
        <f aca="false">IF($M231="","",-$M231*Datos!$C$2)</f>
        <v/>
      </c>
      <c r="Y231" s="61" t="str">
        <f aca="false">IF($M231="","",IFERROR($M231+$U231+$T231+$P231+$Q231+$R231+$S231+$V231+$W231+$X231,"Error"))</f>
        <v/>
      </c>
      <c r="Z231" s="61" t="str">
        <f aca="false">IF($M231="","",IFERROR($Y231-$E231,"Error"))</f>
        <v/>
      </c>
      <c r="AA231" s="60" t="str">
        <f aca="false">IF($M231="","",IFERROR($Z231/($M231+$T231),"Error"))</f>
        <v/>
      </c>
      <c r="AB231" s="62" t="str">
        <f aca="false">IF($M231="","",IFERROR($M231/$E231,"Error"))</f>
        <v/>
      </c>
      <c r="AD231" s="59"/>
      <c r="AE231" s="57"/>
      <c r="AF231" s="58"/>
      <c r="AG231" s="60" t="str">
        <f aca="false">IF(N($AD231)=0,"",IFERROR(($AD231/(1+$L231)-($AD231*$O231+IF($AD231&lt;=15000,1000,IF($AD231&lt;=25000,2000,IF($AD231&lt;=33000,2400,0)))+N($N231))/(1+Datos!$B$2)-$AD231*Datos!$C$2-$C231)/($AD231/(1+$L231)),"Error"))</f>
        <v/>
      </c>
      <c r="AH231" s="61" t="str">
        <f aca="false">IF(N($AD231)=0,"",IFERROR($AD231/(1+$L231)*(1-$AF231)-($AD231*$O231+IF($AD231&lt;=15000,1000,IF($AD231&lt;=25000,2000,IF($AD231&lt;=33000,2400,0)))+N($N231))/(1+Datos!$B$2)-$AD231*Datos!$C$2,"Error"))</f>
        <v/>
      </c>
      <c r="AI231" s="61" t="str">
        <f aca="false">IF($AH231="","",IFERROR($AH231*(1+$D231),"Error"))</f>
        <v/>
      </c>
      <c r="AJ231" s="60" t="str">
        <f aca="false">IF($AH231="","",IFERROR($C231/$AH231-1,"Error"))</f>
        <v/>
      </c>
      <c r="AK231" s="63" t="str">
        <f aca="false">IF($AH231="","",IFERROR(IF($C231&lt;=$AH231,"OK a ese precio","Bajar costo"),"Error"))</f>
        <v/>
      </c>
    </row>
    <row r="232" customFormat="false" ht="15" hidden="false" customHeight="false" outlineLevel="0" collapsed="false">
      <c r="E232" s="0" t="str">
        <f aca="false">IF($C232="","",$C232*(1+$D232))</f>
        <v/>
      </c>
      <c r="J232" s="57"/>
      <c r="K232" s="57"/>
      <c r="L232" s="58"/>
      <c r="M232" s="59"/>
      <c r="N232" s="59"/>
      <c r="O232" s="60" t="str">
        <f aca="false">IF($M232="","",IFERROR(IF($K232="Clásica",VLOOKUP("Argentina"&amp;$J232,Datos!$C:$D,2,0),VLOOKUP("Argentina"&amp;$J232,Datos!$C:$D,2,0)+VLOOKUP("Argentina"&amp;$K232,Datos!$H:$I,2,0)),"Error"))</f>
        <v/>
      </c>
      <c r="P232" s="61" t="str">
        <f aca="false">IF($M232="","",IFERROR(-$M232*$O232,"Error"))</f>
        <v/>
      </c>
      <c r="Q232" s="61" t="str">
        <f aca="false">IF($M232="","",IFERROR(-($P232-$P232/(1+Datos!$B$2)),"Error"))</f>
        <v/>
      </c>
      <c r="R232" s="61" t="str">
        <f aca="false">IF($M232="","",IF($M232&lt;=15000,-1000,IF($M232&lt;=25000,-2000,IF($M232&lt;=33000,-2400,0))))</f>
        <v/>
      </c>
      <c r="S232" s="61" t="str">
        <f aca="false">IF($M232="","",-($R232-$R232/(1+Datos!$B$2)))</f>
        <v/>
      </c>
      <c r="T232" s="61" t="str">
        <f aca="false">IF($M232="","",-$M232/(1+$L232)*$L232)</f>
        <v/>
      </c>
      <c r="U232" s="61" t="str">
        <f aca="false">IF($M232="","",$C232*$D232)</f>
        <v/>
      </c>
      <c r="V232" s="61" t="str">
        <f aca="false">IF($M232="","",-N($N232))</f>
        <v/>
      </c>
      <c r="W232" s="61" t="str">
        <f aca="false">IF($M232="","",-($V232-$V232/(1+Datos!$B$2)))</f>
        <v/>
      </c>
      <c r="X232" s="61" t="str">
        <f aca="false">IF($M232="","",-$M232*Datos!$C$2)</f>
        <v/>
      </c>
      <c r="Y232" s="61" t="str">
        <f aca="false">IF($M232="","",IFERROR($M232+$U232+$T232+$P232+$Q232+$R232+$S232+$V232+$W232+$X232,"Error"))</f>
        <v/>
      </c>
      <c r="Z232" s="61" t="str">
        <f aca="false">IF($M232="","",IFERROR($Y232-$E232,"Error"))</f>
        <v/>
      </c>
      <c r="AA232" s="60" t="str">
        <f aca="false">IF($M232="","",IFERROR($Z232/($M232+$T232),"Error"))</f>
        <v/>
      </c>
      <c r="AB232" s="62" t="str">
        <f aca="false">IF($M232="","",IFERROR($M232/$E232,"Error"))</f>
        <v/>
      </c>
      <c r="AD232" s="59"/>
      <c r="AE232" s="57"/>
      <c r="AF232" s="58"/>
      <c r="AG232" s="60" t="str">
        <f aca="false">IF(N($AD232)=0,"",IFERROR(($AD232/(1+$L232)-($AD232*$O232+IF($AD232&lt;=15000,1000,IF($AD232&lt;=25000,2000,IF($AD232&lt;=33000,2400,0)))+N($N232))/(1+Datos!$B$2)-$AD232*Datos!$C$2-$C232)/($AD232/(1+$L232)),"Error"))</f>
        <v/>
      </c>
      <c r="AH232" s="61" t="str">
        <f aca="false">IF(N($AD232)=0,"",IFERROR($AD232/(1+$L232)*(1-$AF232)-($AD232*$O232+IF($AD232&lt;=15000,1000,IF($AD232&lt;=25000,2000,IF($AD232&lt;=33000,2400,0)))+N($N232))/(1+Datos!$B$2)-$AD232*Datos!$C$2,"Error"))</f>
        <v/>
      </c>
      <c r="AI232" s="61" t="str">
        <f aca="false">IF($AH232="","",IFERROR($AH232*(1+$D232),"Error"))</f>
        <v/>
      </c>
      <c r="AJ232" s="60" t="str">
        <f aca="false">IF($AH232="","",IFERROR($C232/$AH232-1,"Error"))</f>
        <v/>
      </c>
      <c r="AK232" s="63" t="str">
        <f aca="false">IF($AH232="","",IFERROR(IF($C232&lt;=$AH232,"OK a ese precio","Bajar costo"),"Error"))</f>
        <v/>
      </c>
    </row>
    <row r="233" customFormat="false" ht="15" hidden="false" customHeight="false" outlineLevel="0" collapsed="false">
      <c r="E233" s="0" t="str">
        <f aca="false">IF($C233="","",$C233*(1+$D233))</f>
        <v/>
      </c>
      <c r="J233" s="57"/>
      <c r="K233" s="57"/>
      <c r="L233" s="58"/>
      <c r="M233" s="59"/>
      <c r="N233" s="59"/>
      <c r="O233" s="60" t="str">
        <f aca="false">IF($M233="","",IFERROR(IF($K233="Clásica",VLOOKUP("Argentina"&amp;$J233,Datos!$C:$D,2,0),VLOOKUP("Argentina"&amp;$J233,Datos!$C:$D,2,0)+VLOOKUP("Argentina"&amp;$K233,Datos!$H:$I,2,0)),"Error"))</f>
        <v/>
      </c>
      <c r="P233" s="61" t="str">
        <f aca="false">IF($M233="","",IFERROR(-$M233*$O233,"Error"))</f>
        <v/>
      </c>
      <c r="Q233" s="61" t="str">
        <f aca="false">IF($M233="","",IFERROR(-($P233-$P233/(1+Datos!$B$2)),"Error"))</f>
        <v/>
      </c>
      <c r="R233" s="61" t="str">
        <f aca="false">IF($M233="","",IF($M233&lt;=15000,-1000,IF($M233&lt;=25000,-2000,IF($M233&lt;=33000,-2400,0))))</f>
        <v/>
      </c>
      <c r="S233" s="61" t="str">
        <f aca="false">IF($M233="","",-($R233-$R233/(1+Datos!$B$2)))</f>
        <v/>
      </c>
      <c r="T233" s="61" t="str">
        <f aca="false">IF($M233="","",-$M233/(1+$L233)*$L233)</f>
        <v/>
      </c>
      <c r="U233" s="61" t="str">
        <f aca="false">IF($M233="","",$C233*$D233)</f>
        <v/>
      </c>
      <c r="V233" s="61" t="str">
        <f aca="false">IF($M233="","",-N($N233))</f>
        <v/>
      </c>
      <c r="W233" s="61" t="str">
        <f aca="false">IF($M233="","",-($V233-$V233/(1+Datos!$B$2)))</f>
        <v/>
      </c>
      <c r="X233" s="61" t="str">
        <f aca="false">IF($M233="","",-$M233*Datos!$C$2)</f>
        <v/>
      </c>
      <c r="Y233" s="61" t="str">
        <f aca="false">IF($M233="","",IFERROR($M233+$U233+$T233+$P233+$Q233+$R233+$S233+$V233+$W233+$X233,"Error"))</f>
        <v/>
      </c>
      <c r="Z233" s="61" t="str">
        <f aca="false">IF($M233="","",IFERROR($Y233-$E233,"Error"))</f>
        <v/>
      </c>
      <c r="AA233" s="60" t="str">
        <f aca="false">IF($M233="","",IFERROR($Z233/($M233+$T233),"Error"))</f>
        <v/>
      </c>
      <c r="AB233" s="62" t="str">
        <f aca="false">IF($M233="","",IFERROR($M233/$E233,"Error"))</f>
        <v/>
      </c>
      <c r="AD233" s="59"/>
      <c r="AE233" s="57"/>
      <c r="AF233" s="58"/>
      <c r="AG233" s="60" t="str">
        <f aca="false">IF(N($AD233)=0,"",IFERROR(($AD233/(1+$L233)-($AD233*$O233+IF($AD233&lt;=15000,1000,IF($AD233&lt;=25000,2000,IF($AD233&lt;=33000,2400,0)))+N($N233))/(1+Datos!$B$2)-$AD233*Datos!$C$2-$C233)/($AD233/(1+$L233)),"Error"))</f>
        <v/>
      </c>
      <c r="AH233" s="61" t="str">
        <f aca="false">IF(N($AD233)=0,"",IFERROR($AD233/(1+$L233)*(1-$AF233)-($AD233*$O233+IF($AD233&lt;=15000,1000,IF($AD233&lt;=25000,2000,IF($AD233&lt;=33000,2400,0)))+N($N233))/(1+Datos!$B$2)-$AD233*Datos!$C$2,"Error"))</f>
        <v/>
      </c>
      <c r="AI233" s="61" t="str">
        <f aca="false">IF($AH233="","",IFERROR($AH233*(1+$D233),"Error"))</f>
        <v/>
      </c>
      <c r="AJ233" s="60" t="str">
        <f aca="false">IF($AH233="","",IFERROR($C233/$AH233-1,"Error"))</f>
        <v/>
      </c>
      <c r="AK233" s="63" t="str">
        <f aca="false">IF($AH233="","",IFERROR(IF($C233&lt;=$AH233,"OK a ese precio","Bajar costo"),"Error"))</f>
        <v/>
      </c>
    </row>
    <row r="234" customFormat="false" ht="15" hidden="false" customHeight="false" outlineLevel="0" collapsed="false">
      <c r="E234" s="0" t="str">
        <f aca="false">IF($C234="","",$C234*(1+$D234))</f>
        <v/>
      </c>
      <c r="J234" s="57"/>
      <c r="K234" s="57"/>
      <c r="L234" s="58"/>
      <c r="M234" s="59"/>
      <c r="N234" s="59"/>
      <c r="O234" s="60" t="str">
        <f aca="false">IF($M234="","",IFERROR(IF($K234="Clásica",VLOOKUP("Argentina"&amp;$J234,Datos!$C:$D,2,0),VLOOKUP("Argentina"&amp;$J234,Datos!$C:$D,2,0)+VLOOKUP("Argentina"&amp;$K234,Datos!$H:$I,2,0)),"Error"))</f>
        <v/>
      </c>
      <c r="P234" s="61" t="str">
        <f aca="false">IF($M234="","",IFERROR(-$M234*$O234,"Error"))</f>
        <v/>
      </c>
      <c r="Q234" s="61" t="str">
        <f aca="false">IF($M234="","",IFERROR(-($P234-$P234/(1+Datos!$B$2)),"Error"))</f>
        <v/>
      </c>
      <c r="R234" s="61" t="str">
        <f aca="false">IF($M234="","",IF($M234&lt;=15000,-1000,IF($M234&lt;=25000,-2000,IF($M234&lt;=33000,-2400,0))))</f>
        <v/>
      </c>
      <c r="S234" s="61" t="str">
        <f aca="false">IF($M234="","",-($R234-$R234/(1+Datos!$B$2)))</f>
        <v/>
      </c>
      <c r="T234" s="61" t="str">
        <f aca="false">IF($M234="","",-$M234/(1+$L234)*$L234)</f>
        <v/>
      </c>
      <c r="U234" s="61" t="str">
        <f aca="false">IF($M234="","",$C234*$D234)</f>
        <v/>
      </c>
      <c r="V234" s="61" t="str">
        <f aca="false">IF($M234="","",-N($N234))</f>
        <v/>
      </c>
      <c r="W234" s="61" t="str">
        <f aca="false">IF($M234="","",-($V234-$V234/(1+Datos!$B$2)))</f>
        <v/>
      </c>
      <c r="X234" s="61" t="str">
        <f aca="false">IF($M234="","",-$M234*Datos!$C$2)</f>
        <v/>
      </c>
      <c r="Y234" s="61" t="str">
        <f aca="false">IF($M234="","",IFERROR($M234+$U234+$T234+$P234+$Q234+$R234+$S234+$V234+$W234+$X234,"Error"))</f>
        <v/>
      </c>
      <c r="Z234" s="61" t="str">
        <f aca="false">IF($M234="","",IFERROR($Y234-$E234,"Error"))</f>
        <v/>
      </c>
      <c r="AA234" s="60" t="str">
        <f aca="false">IF($M234="","",IFERROR($Z234/($M234+$T234),"Error"))</f>
        <v/>
      </c>
      <c r="AB234" s="62" t="str">
        <f aca="false">IF($M234="","",IFERROR($M234/$E234,"Error"))</f>
        <v/>
      </c>
      <c r="AD234" s="59"/>
      <c r="AE234" s="57"/>
      <c r="AF234" s="58"/>
      <c r="AG234" s="60" t="str">
        <f aca="false">IF(N($AD234)=0,"",IFERROR(($AD234/(1+$L234)-($AD234*$O234+IF($AD234&lt;=15000,1000,IF($AD234&lt;=25000,2000,IF($AD234&lt;=33000,2400,0)))+N($N234))/(1+Datos!$B$2)-$AD234*Datos!$C$2-$C234)/($AD234/(1+$L234)),"Error"))</f>
        <v/>
      </c>
      <c r="AH234" s="61" t="str">
        <f aca="false">IF(N($AD234)=0,"",IFERROR($AD234/(1+$L234)*(1-$AF234)-($AD234*$O234+IF($AD234&lt;=15000,1000,IF($AD234&lt;=25000,2000,IF($AD234&lt;=33000,2400,0)))+N($N234))/(1+Datos!$B$2)-$AD234*Datos!$C$2,"Error"))</f>
        <v/>
      </c>
      <c r="AI234" s="61" t="str">
        <f aca="false">IF($AH234="","",IFERROR($AH234*(1+$D234),"Error"))</f>
        <v/>
      </c>
      <c r="AJ234" s="60" t="str">
        <f aca="false">IF($AH234="","",IFERROR($C234/$AH234-1,"Error"))</f>
        <v/>
      </c>
      <c r="AK234" s="63" t="str">
        <f aca="false">IF($AH234="","",IFERROR(IF($C234&lt;=$AH234,"OK a ese precio","Bajar costo"),"Error"))</f>
        <v/>
      </c>
    </row>
    <row r="235" customFormat="false" ht="15" hidden="false" customHeight="false" outlineLevel="0" collapsed="false">
      <c r="E235" s="0" t="str">
        <f aca="false">IF($C235="","",$C235*(1+$D235))</f>
        <v/>
      </c>
      <c r="J235" s="57"/>
      <c r="K235" s="57"/>
      <c r="L235" s="58"/>
      <c r="M235" s="59"/>
      <c r="N235" s="59"/>
      <c r="O235" s="60" t="str">
        <f aca="false">IF($M235="","",IFERROR(IF($K235="Clásica",VLOOKUP("Argentina"&amp;$J235,Datos!$C:$D,2,0),VLOOKUP("Argentina"&amp;$J235,Datos!$C:$D,2,0)+VLOOKUP("Argentina"&amp;$K235,Datos!$H:$I,2,0)),"Error"))</f>
        <v/>
      </c>
      <c r="P235" s="61" t="str">
        <f aca="false">IF($M235="","",IFERROR(-$M235*$O235,"Error"))</f>
        <v/>
      </c>
      <c r="Q235" s="61" t="str">
        <f aca="false">IF($M235="","",IFERROR(-($P235-$P235/(1+Datos!$B$2)),"Error"))</f>
        <v/>
      </c>
      <c r="R235" s="61" t="str">
        <f aca="false">IF($M235="","",IF($M235&lt;=15000,-1000,IF($M235&lt;=25000,-2000,IF($M235&lt;=33000,-2400,0))))</f>
        <v/>
      </c>
      <c r="S235" s="61" t="str">
        <f aca="false">IF($M235="","",-($R235-$R235/(1+Datos!$B$2)))</f>
        <v/>
      </c>
      <c r="T235" s="61" t="str">
        <f aca="false">IF($M235="","",-$M235/(1+$L235)*$L235)</f>
        <v/>
      </c>
      <c r="U235" s="61" t="str">
        <f aca="false">IF($M235="","",$C235*$D235)</f>
        <v/>
      </c>
      <c r="V235" s="61" t="str">
        <f aca="false">IF($M235="","",-N($N235))</f>
        <v/>
      </c>
      <c r="W235" s="61" t="str">
        <f aca="false">IF($M235="","",-($V235-$V235/(1+Datos!$B$2)))</f>
        <v/>
      </c>
      <c r="X235" s="61" t="str">
        <f aca="false">IF($M235="","",-$M235*Datos!$C$2)</f>
        <v/>
      </c>
      <c r="Y235" s="61" t="str">
        <f aca="false">IF($M235="","",IFERROR($M235+$U235+$T235+$P235+$Q235+$R235+$S235+$V235+$W235+$X235,"Error"))</f>
        <v/>
      </c>
      <c r="Z235" s="61" t="str">
        <f aca="false">IF($M235="","",IFERROR($Y235-$E235,"Error"))</f>
        <v/>
      </c>
      <c r="AA235" s="60" t="str">
        <f aca="false">IF($M235="","",IFERROR($Z235/($M235+$T235),"Error"))</f>
        <v/>
      </c>
      <c r="AB235" s="62" t="str">
        <f aca="false">IF($M235="","",IFERROR($M235/$E235,"Error"))</f>
        <v/>
      </c>
      <c r="AD235" s="59"/>
      <c r="AE235" s="57"/>
      <c r="AF235" s="58"/>
      <c r="AG235" s="60" t="str">
        <f aca="false">IF(N($AD235)=0,"",IFERROR(($AD235/(1+$L235)-($AD235*$O235+IF($AD235&lt;=15000,1000,IF($AD235&lt;=25000,2000,IF($AD235&lt;=33000,2400,0)))+N($N235))/(1+Datos!$B$2)-$AD235*Datos!$C$2-$C235)/($AD235/(1+$L235)),"Error"))</f>
        <v/>
      </c>
      <c r="AH235" s="61" t="str">
        <f aca="false">IF(N($AD235)=0,"",IFERROR($AD235/(1+$L235)*(1-$AF235)-($AD235*$O235+IF($AD235&lt;=15000,1000,IF($AD235&lt;=25000,2000,IF($AD235&lt;=33000,2400,0)))+N($N235))/(1+Datos!$B$2)-$AD235*Datos!$C$2,"Error"))</f>
        <v/>
      </c>
      <c r="AI235" s="61" t="str">
        <f aca="false">IF($AH235="","",IFERROR($AH235*(1+$D235),"Error"))</f>
        <v/>
      </c>
      <c r="AJ235" s="60" t="str">
        <f aca="false">IF($AH235="","",IFERROR($C235/$AH235-1,"Error"))</f>
        <v/>
      </c>
      <c r="AK235" s="63" t="str">
        <f aca="false">IF($AH235="","",IFERROR(IF($C235&lt;=$AH235,"OK a ese precio","Bajar costo"),"Error"))</f>
        <v/>
      </c>
    </row>
    <row r="236" customFormat="false" ht="15" hidden="false" customHeight="false" outlineLevel="0" collapsed="false">
      <c r="E236" s="0" t="str">
        <f aca="false">IF($C236="","",$C236*(1+$D236))</f>
        <v/>
      </c>
      <c r="J236" s="57"/>
      <c r="K236" s="57"/>
      <c r="L236" s="58"/>
      <c r="M236" s="59"/>
      <c r="N236" s="59"/>
      <c r="O236" s="60" t="str">
        <f aca="false">IF($M236="","",IFERROR(IF($K236="Clásica",VLOOKUP("Argentina"&amp;$J236,Datos!$C:$D,2,0),VLOOKUP("Argentina"&amp;$J236,Datos!$C:$D,2,0)+VLOOKUP("Argentina"&amp;$K236,Datos!$H:$I,2,0)),"Error"))</f>
        <v/>
      </c>
      <c r="P236" s="61" t="str">
        <f aca="false">IF($M236="","",IFERROR(-$M236*$O236,"Error"))</f>
        <v/>
      </c>
      <c r="Q236" s="61" t="str">
        <f aca="false">IF($M236="","",IFERROR(-($P236-$P236/(1+Datos!$B$2)),"Error"))</f>
        <v/>
      </c>
      <c r="R236" s="61" t="str">
        <f aca="false">IF($M236="","",IF($M236&lt;=15000,-1000,IF($M236&lt;=25000,-2000,IF($M236&lt;=33000,-2400,0))))</f>
        <v/>
      </c>
      <c r="S236" s="61" t="str">
        <f aca="false">IF($M236="","",-($R236-$R236/(1+Datos!$B$2)))</f>
        <v/>
      </c>
      <c r="T236" s="61" t="str">
        <f aca="false">IF($M236="","",-$M236/(1+$L236)*$L236)</f>
        <v/>
      </c>
      <c r="U236" s="61" t="str">
        <f aca="false">IF($M236="","",$C236*$D236)</f>
        <v/>
      </c>
      <c r="V236" s="61" t="str">
        <f aca="false">IF($M236="","",-N($N236))</f>
        <v/>
      </c>
      <c r="W236" s="61" t="str">
        <f aca="false">IF($M236="","",-($V236-$V236/(1+Datos!$B$2)))</f>
        <v/>
      </c>
      <c r="X236" s="61" t="str">
        <f aca="false">IF($M236="","",-$M236*Datos!$C$2)</f>
        <v/>
      </c>
      <c r="Y236" s="61" t="str">
        <f aca="false">IF($M236="","",IFERROR($M236+$U236+$T236+$P236+$Q236+$R236+$S236+$V236+$W236+$X236,"Error"))</f>
        <v/>
      </c>
      <c r="Z236" s="61" t="str">
        <f aca="false">IF($M236="","",IFERROR($Y236-$E236,"Error"))</f>
        <v/>
      </c>
      <c r="AA236" s="60" t="str">
        <f aca="false">IF($M236="","",IFERROR($Z236/($M236+$T236),"Error"))</f>
        <v/>
      </c>
      <c r="AB236" s="62" t="str">
        <f aca="false">IF($M236="","",IFERROR($M236/$E236,"Error"))</f>
        <v/>
      </c>
      <c r="AD236" s="59"/>
      <c r="AE236" s="57"/>
      <c r="AF236" s="58"/>
      <c r="AG236" s="60" t="str">
        <f aca="false">IF(N($AD236)=0,"",IFERROR(($AD236/(1+$L236)-($AD236*$O236+IF($AD236&lt;=15000,1000,IF($AD236&lt;=25000,2000,IF($AD236&lt;=33000,2400,0)))+N($N236))/(1+Datos!$B$2)-$AD236*Datos!$C$2-$C236)/($AD236/(1+$L236)),"Error"))</f>
        <v/>
      </c>
      <c r="AH236" s="61" t="str">
        <f aca="false">IF(N($AD236)=0,"",IFERROR($AD236/(1+$L236)*(1-$AF236)-($AD236*$O236+IF($AD236&lt;=15000,1000,IF($AD236&lt;=25000,2000,IF($AD236&lt;=33000,2400,0)))+N($N236))/(1+Datos!$B$2)-$AD236*Datos!$C$2,"Error"))</f>
        <v/>
      </c>
      <c r="AI236" s="61" t="str">
        <f aca="false">IF($AH236="","",IFERROR($AH236*(1+$D236),"Error"))</f>
        <v/>
      </c>
      <c r="AJ236" s="60" t="str">
        <f aca="false">IF($AH236="","",IFERROR($C236/$AH236-1,"Error"))</f>
        <v/>
      </c>
      <c r="AK236" s="63" t="str">
        <f aca="false">IF($AH236="","",IFERROR(IF($C236&lt;=$AH236,"OK a ese precio","Bajar costo"),"Error"))</f>
        <v/>
      </c>
    </row>
    <row r="237" customFormat="false" ht="15" hidden="false" customHeight="false" outlineLevel="0" collapsed="false">
      <c r="E237" s="0" t="str">
        <f aca="false">IF($C237="","",$C237*(1+$D237))</f>
        <v/>
      </c>
      <c r="J237" s="57"/>
      <c r="K237" s="57"/>
      <c r="L237" s="58"/>
      <c r="M237" s="59"/>
      <c r="N237" s="59"/>
      <c r="O237" s="60" t="str">
        <f aca="false">IF($M237="","",IFERROR(IF($K237="Clásica",VLOOKUP("Argentina"&amp;$J237,Datos!$C:$D,2,0),VLOOKUP("Argentina"&amp;$J237,Datos!$C:$D,2,0)+VLOOKUP("Argentina"&amp;$K237,Datos!$H:$I,2,0)),"Error"))</f>
        <v/>
      </c>
      <c r="P237" s="61" t="str">
        <f aca="false">IF($M237="","",IFERROR(-$M237*$O237,"Error"))</f>
        <v/>
      </c>
      <c r="Q237" s="61" t="str">
        <f aca="false">IF($M237="","",IFERROR(-($P237-$P237/(1+Datos!$B$2)),"Error"))</f>
        <v/>
      </c>
      <c r="R237" s="61" t="str">
        <f aca="false">IF($M237="","",IF($M237&lt;=15000,-1000,IF($M237&lt;=25000,-2000,IF($M237&lt;=33000,-2400,0))))</f>
        <v/>
      </c>
      <c r="S237" s="61" t="str">
        <f aca="false">IF($M237="","",-($R237-$R237/(1+Datos!$B$2)))</f>
        <v/>
      </c>
      <c r="T237" s="61" t="str">
        <f aca="false">IF($M237="","",-$M237/(1+$L237)*$L237)</f>
        <v/>
      </c>
      <c r="U237" s="61" t="str">
        <f aca="false">IF($M237="","",$C237*$D237)</f>
        <v/>
      </c>
      <c r="V237" s="61" t="str">
        <f aca="false">IF($M237="","",-N($N237))</f>
        <v/>
      </c>
      <c r="W237" s="61" t="str">
        <f aca="false">IF($M237="","",-($V237-$V237/(1+Datos!$B$2)))</f>
        <v/>
      </c>
      <c r="X237" s="61" t="str">
        <f aca="false">IF($M237="","",-$M237*Datos!$C$2)</f>
        <v/>
      </c>
      <c r="Y237" s="61" t="str">
        <f aca="false">IF($M237="","",IFERROR($M237+$U237+$T237+$P237+$Q237+$R237+$S237+$V237+$W237+$X237,"Error"))</f>
        <v/>
      </c>
      <c r="Z237" s="61" t="str">
        <f aca="false">IF($M237="","",IFERROR($Y237-$E237,"Error"))</f>
        <v/>
      </c>
      <c r="AA237" s="60" t="str">
        <f aca="false">IF($M237="","",IFERROR($Z237/($M237+$T237),"Error"))</f>
        <v/>
      </c>
      <c r="AB237" s="62" t="str">
        <f aca="false">IF($M237="","",IFERROR($M237/$E237,"Error"))</f>
        <v/>
      </c>
      <c r="AD237" s="59"/>
      <c r="AE237" s="57"/>
      <c r="AF237" s="58"/>
      <c r="AG237" s="60" t="str">
        <f aca="false">IF(N($AD237)=0,"",IFERROR(($AD237/(1+$L237)-($AD237*$O237+IF($AD237&lt;=15000,1000,IF($AD237&lt;=25000,2000,IF($AD237&lt;=33000,2400,0)))+N($N237))/(1+Datos!$B$2)-$AD237*Datos!$C$2-$C237)/($AD237/(1+$L237)),"Error"))</f>
        <v/>
      </c>
      <c r="AH237" s="61" t="str">
        <f aca="false">IF(N($AD237)=0,"",IFERROR($AD237/(1+$L237)*(1-$AF237)-($AD237*$O237+IF($AD237&lt;=15000,1000,IF($AD237&lt;=25000,2000,IF($AD237&lt;=33000,2400,0)))+N($N237))/(1+Datos!$B$2)-$AD237*Datos!$C$2,"Error"))</f>
        <v/>
      </c>
      <c r="AI237" s="61" t="str">
        <f aca="false">IF($AH237="","",IFERROR($AH237*(1+$D237),"Error"))</f>
        <v/>
      </c>
      <c r="AJ237" s="60" t="str">
        <f aca="false">IF($AH237="","",IFERROR($C237/$AH237-1,"Error"))</f>
        <v/>
      </c>
      <c r="AK237" s="63" t="str">
        <f aca="false">IF($AH237="","",IFERROR(IF($C237&lt;=$AH237,"OK a ese precio","Bajar costo"),"Error"))</f>
        <v/>
      </c>
    </row>
    <row r="238" customFormat="false" ht="15" hidden="false" customHeight="false" outlineLevel="0" collapsed="false">
      <c r="E238" s="0" t="str">
        <f aca="false">IF($C238="","",$C238*(1+$D238))</f>
        <v/>
      </c>
      <c r="J238" s="57"/>
      <c r="K238" s="57"/>
      <c r="L238" s="58"/>
      <c r="M238" s="59"/>
      <c r="N238" s="59"/>
      <c r="O238" s="60" t="str">
        <f aca="false">IF($M238="","",IFERROR(IF($K238="Clásica",VLOOKUP("Argentina"&amp;$J238,Datos!$C:$D,2,0),VLOOKUP("Argentina"&amp;$J238,Datos!$C:$D,2,0)+VLOOKUP("Argentina"&amp;$K238,Datos!$H:$I,2,0)),"Error"))</f>
        <v/>
      </c>
      <c r="P238" s="61" t="str">
        <f aca="false">IF($M238="","",IFERROR(-$M238*$O238,"Error"))</f>
        <v/>
      </c>
      <c r="Q238" s="61" t="str">
        <f aca="false">IF($M238="","",IFERROR(-($P238-$P238/(1+Datos!$B$2)),"Error"))</f>
        <v/>
      </c>
      <c r="R238" s="61" t="str">
        <f aca="false">IF($M238="","",IF($M238&lt;=15000,-1000,IF($M238&lt;=25000,-2000,IF($M238&lt;=33000,-2400,0))))</f>
        <v/>
      </c>
      <c r="S238" s="61" t="str">
        <f aca="false">IF($M238="","",-($R238-$R238/(1+Datos!$B$2)))</f>
        <v/>
      </c>
      <c r="T238" s="61" t="str">
        <f aca="false">IF($M238="","",-$M238/(1+$L238)*$L238)</f>
        <v/>
      </c>
      <c r="U238" s="61" t="str">
        <f aca="false">IF($M238="","",$C238*$D238)</f>
        <v/>
      </c>
      <c r="V238" s="61" t="str">
        <f aca="false">IF($M238="","",-N($N238))</f>
        <v/>
      </c>
      <c r="W238" s="61" t="str">
        <f aca="false">IF($M238="","",-($V238-$V238/(1+Datos!$B$2)))</f>
        <v/>
      </c>
      <c r="X238" s="61" t="str">
        <f aca="false">IF($M238="","",-$M238*Datos!$C$2)</f>
        <v/>
      </c>
      <c r="Y238" s="61" t="str">
        <f aca="false">IF($M238="","",IFERROR($M238+$U238+$T238+$P238+$Q238+$R238+$S238+$V238+$W238+$X238,"Error"))</f>
        <v/>
      </c>
      <c r="Z238" s="61" t="str">
        <f aca="false">IF($M238="","",IFERROR($Y238-$E238,"Error"))</f>
        <v/>
      </c>
      <c r="AA238" s="60" t="str">
        <f aca="false">IF($M238="","",IFERROR($Z238/($M238+$T238),"Error"))</f>
        <v/>
      </c>
      <c r="AB238" s="62" t="str">
        <f aca="false">IF($M238="","",IFERROR($M238/$E238,"Error"))</f>
        <v/>
      </c>
      <c r="AD238" s="59"/>
      <c r="AE238" s="57"/>
      <c r="AF238" s="58"/>
      <c r="AG238" s="60" t="str">
        <f aca="false">IF(N($AD238)=0,"",IFERROR(($AD238/(1+$L238)-($AD238*$O238+IF($AD238&lt;=15000,1000,IF($AD238&lt;=25000,2000,IF($AD238&lt;=33000,2400,0)))+N($N238))/(1+Datos!$B$2)-$AD238*Datos!$C$2-$C238)/($AD238/(1+$L238)),"Error"))</f>
        <v/>
      </c>
      <c r="AH238" s="61" t="str">
        <f aca="false">IF(N($AD238)=0,"",IFERROR($AD238/(1+$L238)*(1-$AF238)-($AD238*$O238+IF($AD238&lt;=15000,1000,IF($AD238&lt;=25000,2000,IF($AD238&lt;=33000,2400,0)))+N($N238))/(1+Datos!$B$2)-$AD238*Datos!$C$2,"Error"))</f>
        <v/>
      </c>
      <c r="AI238" s="61" t="str">
        <f aca="false">IF($AH238="","",IFERROR($AH238*(1+$D238),"Error"))</f>
        <v/>
      </c>
      <c r="AJ238" s="60" t="str">
        <f aca="false">IF($AH238="","",IFERROR($C238/$AH238-1,"Error"))</f>
        <v/>
      </c>
      <c r="AK238" s="63" t="str">
        <f aca="false">IF($AH238="","",IFERROR(IF($C238&lt;=$AH238,"OK a ese precio","Bajar costo"),"Error"))</f>
        <v/>
      </c>
    </row>
    <row r="239" customFormat="false" ht="15" hidden="false" customHeight="false" outlineLevel="0" collapsed="false">
      <c r="E239" s="0" t="str">
        <f aca="false">IF($C239="","",$C239*(1+$D239))</f>
        <v/>
      </c>
      <c r="J239" s="57"/>
      <c r="K239" s="57"/>
      <c r="L239" s="58"/>
      <c r="M239" s="59"/>
      <c r="N239" s="59"/>
      <c r="O239" s="60" t="str">
        <f aca="false">IF($M239="","",IFERROR(IF($K239="Clásica",VLOOKUP("Argentina"&amp;$J239,Datos!$C:$D,2,0),VLOOKUP("Argentina"&amp;$J239,Datos!$C:$D,2,0)+VLOOKUP("Argentina"&amp;$K239,Datos!$H:$I,2,0)),"Error"))</f>
        <v/>
      </c>
      <c r="P239" s="61" t="str">
        <f aca="false">IF($M239="","",IFERROR(-$M239*$O239,"Error"))</f>
        <v/>
      </c>
      <c r="Q239" s="61" t="str">
        <f aca="false">IF($M239="","",IFERROR(-($P239-$P239/(1+Datos!$B$2)),"Error"))</f>
        <v/>
      </c>
      <c r="R239" s="61" t="str">
        <f aca="false">IF($M239="","",IF($M239&lt;=15000,-1000,IF($M239&lt;=25000,-2000,IF($M239&lt;=33000,-2400,0))))</f>
        <v/>
      </c>
      <c r="S239" s="61" t="str">
        <f aca="false">IF($M239="","",-($R239-$R239/(1+Datos!$B$2)))</f>
        <v/>
      </c>
      <c r="T239" s="61" t="str">
        <f aca="false">IF($M239="","",-$M239/(1+$L239)*$L239)</f>
        <v/>
      </c>
      <c r="U239" s="61" t="str">
        <f aca="false">IF($M239="","",$C239*$D239)</f>
        <v/>
      </c>
      <c r="V239" s="61" t="str">
        <f aca="false">IF($M239="","",-N($N239))</f>
        <v/>
      </c>
      <c r="W239" s="61" t="str">
        <f aca="false">IF($M239="","",-($V239-$V239/(1+Datos!$B$2)))</f>
        <v/>
      </c>
      <c r="X239" s="61" t="str">
        <f aca="false">IF($M239="","",-$M239*Datos!$C$2)</f>
        <v/>
      </c>
      <c r="Y239" s="61" t="str">
        <f aca="false">IF($M239="","",IFERROR($M239+$U239+$T239+$P239+$Q239+$R239+$S239+$V239+$W239+$X239,"Error"))</f>
        <v/>
      </c>
      <c r="Z239" s="61" t="str">
        <f aca="false">IF($M239="","",IFERROR($Y239-$E239,"Error"))</f>
        <v/>
      </c>
      <c r="AA239" s="60" t="str">
        <f aca="false">IF($M239="","",IFERROR($Z239/($M239+$T239),"Error"))</f>
        <v/>
      </c>
      <c r="AB239" s="62" t="str">
        <f aca="false">IF($M239="","",IFERROR($M239/$E239,"Error"))</f>
        <v/>
      </c>
      <c r="AD239" s="59"/>
      <c r="AE239" s="57"/>
      <c r="AF239" s="58"/>
      <c r="AG239" s="60" t="str">
        <f aca="false">IF(N($AD239)=0,"",IFERROR(($AD239/(1+$L239)-($AD239*$O239+IF($AD239&lt;=15000,1000,IF($AD239&lt;=25000,2000,IF($AD239&lt;=33000,2400,0)))+N($N239))/(1+Datos!$B$2)-$AD239*Datos!$C$2-$C239)/($AD239/(1+$L239)),"Error"))</f>
        <v/>
      </c>
      <c r="AH239" s="61" t="str">
        <f aca="false">IF(N($AD239)=0,"",IFERROR($AD239/(1+$L239)*(1-$AF239)-($AD239*$O239+IF($AD239&lt;=15000,1000,IF($AD239&lt;=25000,2000,IF($AD239&lt;=33000,2400,0)))+N($N239))/(1+Datos!$B$2)-$AD239*Datos!$C$2,"Error"))</f>
        <v/>
      </c>
      <c r="AI239" s="61" t="str">
        <f aca="false">IF($AH239="","",IFERROR($AH239*(1+$D239),"Error"))</f>
        <v/>
      </c>
      <c r="AJ239" s="60" t="str">
        <f aca="false">IF($AH239="","",IFERROR($C239/$AH239-1,"Error"))</f>
        <v/>
      </c>
      <c r="AK239" s="63" t="str">
        <f aca="false">IF($AH239="","",IFERROR(IF($C239&lt;=$AH239,"OK a ese precio","Bajar costo"),"Error"))</f>
        <v/>
      </c>
    </row>
    <row r="240" customFormat="false" ht="15" hidden="false" customHeight="false" outlineLevel="0" collapsed="false">
      <c r="E240" s="0" t="str">
        <f aca="false">IF($C240="","",$C240*(1+$D240))</f>
        <v/>
      </c>
      <c r="J240" s="57"/>
      <c r="K240" s="57"/>
      <c r="L240" s="58"/>
      <c r="M240" s="59"/>
      <c r="N240" s="59"/>
      <c r="O240" s="60" t="str">
        <f aca="false">IF($M240="","",IFERROR(IF($K240="Clásica",VLOOKUP("Argentina"&amp;$J240,Datos!$C:$D,2,0),VLOOKUP("Argentina"&amp;$J240,Datos!$C:$D,2,0)+VLOOKUP("Argentina"&amp;$K240,Datos!$H:$I,2,0)),"Error"))</f>
        <v/>
      </c>
      <c r="P240" s="61" t="str">
        <f aca="false">IF($M240="","",IFERROR(-$M240*$O240,"Error"))</f>
        <v/>
      </c>
      <c r="Q240" s="61" t="str">
        <f aca="false">IF($M240="","",IFERROR(-($P240-$P240/(1+Datos!$B$2)),"Error"))</f>
        <v/>
      </c>
      <c r="R240" s="61" t="str">
        <f aca="false">IF($M240="","",IF($M240&lt;=15000,-1000,IF($M240&lt;=25000,-2000,IF($M240&lt;=33000,-2400,0))))</f>
        <v/>
      </c>
      <c r="S240" s="61" t="str">
        <f aca="false">IF($M240="","",-($R240-$R240/(1+Datos!$B$2)))</f>
        <v/>
      </c>
      <c r="T240" s="61" t="str">
        <f aca="false">IF($M240="","",-$M240/(1+$L240)*$L240)</f>
        <v/>
      </c>
      <c r="U240" s="61" t="str">
        <f aca="false">IF($M240="","",$C240*$D240)</f>
        <v/>
      </c>
      <c r="V240" s="61" t="str">
        <f aca="false">IF($M240="","",-N($N240))</f>
        <v/>
      </c>
      <c r="W240" s="61" t="str">
        <f aca="false">IF($M240="","",-($V240-$V240/(1+Datos!$B$2)))</f>
        <v/>
      </c>
      <c r="X240" s="61" t="str">
        <f aca="false">IF($M240="","",-$M240*Datos!$C$2)</f>
        <v/>
      </c>
      <c r="Y240" s="61" t="str">
        <f aca="false">IF($M240="","",IFERROR($M240+$U240+$T240+$P240+$Q240+$R240+$S240+$V240+$W240+$X240,"Error"))</f>
        <v/>
      </c>
      <c r="Z240" s="61" t="str">
        <f aca="false">IF($M240="","",IFERROR($Y240-$E240,"Error"))</f>
        <v/>
      </c>
      <c r="AA240" s="60" t="str">
        <f aca="false">IF($M240="","",IFERROR($Z240/($M240+$T240),"Error"))</f>
        <v/>
      </c>
      <c r="AB240" s="62" t="str">
        <f aca="false">IF($M240="","",IFERROR($M240/$E240,"Error"))</f>
        <v/>
      </c>
      <c r="AD240" s="59"/>
      <c r="AE240" s="57"/>
      <c r="AF240" s="58"/>
      <c r="AG240" s="60" t="str">
        <f aca="false">IF(N($AD240)=0,"",IFERROR(($AD240/(1+$L240)-($AD240*$O240+IF($AD240&lt;=15000,1000,IF($AD240&lt;=25000,2000,IF($AD240&lt;=33000,2400,0)))+N($N240))/(1+Datos!$B$2)-$AD240*Datos!$C$2-$C240)/($AD240/(1+$L240)),"Error"))</f>
        <v/>
      </c>
      <c r="AH240" s="61" t="str">
        <f aca="false">IF(N($AD240)=0,"",IFERROR($AD240/(1+$L240)*(1-$AF240)-($AD240*$O240+IF($AD240&lt;=15000,1000,IF($AD240&lt;=25000,2000,IF($AD240&lt;=33000,2400,0)))+N($N240))/(1+Datos!$B$2)-$AD240*Datos!$C$2,"Error"))</f>
        <v/>
      </c>
      <c r="AI240" s="61" t="str">
        <f aca="false">IF($AH240="","",IFERROR($AH240*(1+$D240),"Error"))</f>
        <v/>
      </c>
      <c r="AJ240" s="60" t="str">
        <f aca="false">IF($AH240="","",IFERROR($C240/$AH240-1,"Error"))</f>
        <v/>
      </c>
      <c r="AK240" s="63" t="str">
        <f aca="false">IF($AH240="","",IFERROR(IF($C240&lt;=$AH240,"OK a ese precio","Bajar costo"),"Error"))</f>
        <v/>
      </c>
    </row>
    <row r="241" customFormat="false" ht="15" hidden="false" customHeight="false" outlineLevel="0" collapsed="false">
      <c r="E241" s="0" t="str">
        <f aca="false">IF($C241="","",$C241*(1+$D241))</f>
        <v/>
      </c>
      <c r="J241" s="57"/>
      <c r="K241" s="57"/>
      <c r="L241" s="58"/>
      <c r="M241" s="59"/>
      <c r="N241" s="59"/>
      <c r="O241" s="60" t="str">
        <f aca="false">IF($M241="","",IFERROR(IF($K241="Clásica",VLOOKUP("Argentina"&amp;$J241,Datos!$C:$D,2,0),VLOOKUP("Argentina"&amp;$J241,Datos!$C:$D,2,0)+VLOOKUP("Argentina"&amp;$K241,Datos!$H:$I,2,0)),"Error"))</f>
        <v/>
      </c>
      <c r="P241" s="61" t="str">
        <f aca="false">IF($M241="","",IFERROR(-$M241*$O241,"Error"))</f>
        <v/>
      </c>
      <c r="Q241" s="61" t="str">
        <f aca="false">IF($M241="","",IFERROR(-($P241-$P241/(1+Datos!$B$2)),"Error"))</f>
        <v/>
      </c>
      <c r="R241" s="61" t="str">
        <f aca="false">IF($M241="","",IF($M241&lt;=15000,-1000,IF($M241&lt;=25000,-2000,IF($M241&lt;=33000,-2400,0))))</f>
        <v/>
      </c>
      <c r="S241" s="61" t="str">
        <f aca="false">IF($M241="","",-($R241-$R241/(1+Datos!$B$2)))</f>
        <v/>
      </c>
      <c r="T241" s="61" t="str">
        <f aca="false">IF($M241="","",-$M241/(1+$L241)*$L241)</f>
        <v/>
      </c>
      <c r="U241" s="61" t="str">
        <f aca="false">IF($M241="","",$C241*$D241)</f>
        <v/>
      </c>
      <c r="V241" s="61" t="str">
        <f aca="false">IF($M241="","",-N($N241))</f>
        <v/>
      </c>
      <c r="W241" s="61" t="str">
        <f aca="false">IF($M241="","",-($V241-$V241/(1+Datos!$B$2)))</f>
        <v/>
      </c>
      <c r="X241" s="61" t="str">
        <f aca="false">IF($M241="","",-$M241*Datos!$C$2)</f>
        <v/>
      </c>
      <c r="Y241" s="61" t="str">
        <f aca="false">IF($M241="","",IFERROR($M241+$U241+$T241+$P241+$Q241+$R241+$S241+$V241+$W241+$X241,"Error"))</f>
        <v/>
      </c>
      <c r="Z241" s="61" t="str">
        <f aca="false">IF($M241="","",IFERROR($Y241-$E241,"Error"))</f>
        <v/>
      </c>
      <c r="AA241" s="60" t="str">
        <f aca="false">IF($M241="","",IFERROR($Z241/($M241+$T241),"Error"))</f>
        <v/>
      </c>
      <c r="AB241" s="62" t="str">
        <f aca="false">IF($M241="","",IFERROR($M241/$E241,"Error"))</f>
        <v/>
      </c>
      <c r="AD241" s="59"/>
      <c r="AE241" s="57"/>
      <c r="AF241" s="58"/>
      <c r="AG241" s="60" t="str">
        <f aca="false">IF(N($AD241)=0,"",IFERROR(($AD241/(1+$L241)-($AD241*$O241+IF($AD241&lt;=15000,1000,IF($AD241&lt;=25000,2000,IF($AD241&lt;=33000,2400,0)))+N($N241))/(1+Datos!$B$2)-$AD241*Datos!$C$2-$C241)/($AD241/(1+$L241)),"Error"))</f>
        <v/>
      </c>
      <c r="AH241" s="61" t="str">
        <f aca="false">IF(N($AD241)=0,"",IFERROR($AD241/(1+$L241)*(1-$AF241)-($AD241*$O241+IF($AD241&lt;=15000,1000,IF($AD241&lt;=25000,2000,IF($AD241&lt;=33000,2400,0)))+N($N241))/(1+Datos!$B$2)-$AD241*Datos!$C$2,"Error"))</f>
        <v/>
      </c>
      <c r="AI241" s="61" t="str">
        <f aca="false">IF($AH241="","",IFERROR($AH241*(1+$D241),"Error"))</f>
        <v/>
      </c>
      <c r="AJ241" s="60" t="str">
        <f aca="false">IF($AH241="","",IFERROR($C241/$AH241-1,"Error"))</f>
        <v/>
      </c>
      <c r="AK241" s="63" t="str">
        <f aca="false">IF($AH241="","",IFERROR(IF($C241&lt;=$AH241,"OK a ese precio","Bajar costo"),"Error"))</f>
        <v/>
      </c>
    </row>
    <row r="242" customFormat="false" ht="15" hidden="false" customHeight="false" outlineLevel="0" collapsed="false">
      <c r="E242" s="0" t="str">
        <f aca="false">IF($C242="","",$C242*(1+$D242))</f>
        <v/>
      </c>
      <c r="J242" s="57"/>
      <c r="K242" s="57"/>
      <c r="L242" s="58"/>
      <c r="M242" s="59"/>
      <c r="N242" s="59"/>
      <c r="O242" s="60" t="str">
        <f aca="false">IF($M242="","",IFERROR(IF($K242="Clásica",VLOOKUP("Argentina"&amp;$J242,Datos!$C:$D,2,0),VLOOKUP("Argentina"&amp;$J242,Datos!$C:$D,2,0)+VLOOKUP("Argentina"&amp;$K242,Datos!$H:$I,2,0)),"Error"))</f>
        <v/>
      </c>
      <c r="P242" s="61" t="str">
        <f aca="false">IF($M242="","",IFERROR(-$M242*$O242,"Error"))</f>
        <v/>
      </c>
      <c r="Q242" s="61" t="str">
        <f aca="false">IF($M242="","",IFERROR(-($P242-$P242/(1+Datos!$B$2)),"Error"))</f>
        <v/>
      </c>
      <c r="R242" s="61" t="str">
        <f aca="false">IF($M242="","",IF($M242&lt;=15000,-1000,IF($M242&lt;=25000,-2000,IF($M242&lt;=33000,-2400,0))))</f>
        <v/>
      </c>
      <c r="S242" s="61" t="str">
        <f aca="false">IF($M242="","",-($R242-$R242/(1+Datos!$B$2)))</f>
        <v/>
      </c>
      <c r="T242" s="61" t="str">
        <f aca="false">IF($M242="","",-$M242/(1+$L242)*$L242)</f>
        <v/>
      </c>
      <c r="U242" s="61" t="str">
        <f aca="false">IF($M242="","",$C242*$D242)</f>
        <v/>
      </c>
      <c r="V242" s="61" t="str">
        <f aca="false">IF($M242="","",-N($N242))</f>
        <v/>
      </c>
      <c r="W242" s="61" t="str">
        <f aca="false">IF($M242="","",-($V242-$V242/(1+Datos!$B$2)))</f>
        <v/>
      </c>
      <c r="X242" s="61" t="str">
        <f aca="false">IF($M242="","",-$M242*Datos!$C$2)</f>
        <v/>
      </c>
      <c r="Y242" s="61" t="str">
        <f aca="false">IF($M242="","",IFERROR($M242+$U242+$T242+$P242+$Q242+$R242+$S242+$V242+$W242+$X242,"Error"))</f>
        <v/>
      </c>
      <c r="Z242" s="61" t="str">
        <f aca="false">IF($M242="","",IFERROR($Y242-$E242,"Error"))</f>
        <v/>
      </c>
      <c r="AA242" s="60" t="str">
        <f aca="false">IF($M242="","",IFERROR($Z242/($M242+$T242),"Error"))</f>
        <v/>
      </c>
      <c r="AB242" s="62" t="str">
        <f aca="false">IF($M242="","",IFERROR($M242/$E242,"Error"))</f>
        <v/>
      </c>
      <c r="AD242" s="59"/>
      <c r="AE242" s="57"/>
      <c r="AF242" s="58"/>
      <c r="AG242" s="60" t="str">
        <f aca="false">IF(N($AD242)=0,"",IFERROR(($AD242/(1+$L242)-($AD242*$O242+IF($AD242&lt;=15000,1000,IF($AD242&lt;=25000,2000,IF($AD242&lt;=33000,2400,0)))+N($N242))/(1+Datos!$B$2)-$AD242*Datos!$C$2-$C242)/($AD242/(1+$L242)),"Error"))</f>
        <v/>
      </c>
      <c r="AH242" s="61" t="str">
        <f aca="false">IF(N($AD242)=0,"",IFERROR($AD242/(1+$L242)*(1-$AF242)-($AD242*$O242+IF($AD242&lt;=15000,1000,IF($AD242&lt;=25000,2000,IF($AD242&lt;=33000,2400,0)))+N($N242))/(1+Datos!$B$2)-$AD242*Datos!$C$2,"Error"))</f>
        <v/>
      </c>
      <c r="AI242" s="61" t="str">
        <f aca="false">IF($AH242="","",IFERROR($AH242*(1+$D242),"Error"))</f>
        <v/>
      </c>
      <c r="AJ242" s="60" t="str">
        <f aca="false">IF($AH242="","",IFERROR($C242/$AH242-1,"Error"))</f>
        <v/>
      </c>
      <c r="AK242" s="63" t="str">
        <f aca="false">IF($AH242="","",IFERROR(IF($C242&lt;=$AH242,"OK a ese precio","Bajar costo"),"Error"))</f>
        <v/>
      </c>
    </row>
    <row r="243" customFormat="false" ht="15" hidden="false" customHeight="false" outlineLevel="0" collapsed="false">
      <c r="E243" s="0" t="str">
        <f aca="false">IF($C243="","",$C243*(1+$D243))</f>
        <v/>
      </c>
      <c r="J243" s="57"/>
      <c r="K243" s="57"/>
      <c r="L243" s="58"/>
      <c r="M243" s="59"/>
      <c r="N243" s="59"/>
      <c r="O243" s="60" t="str">
        <f aca="false">IF($M243="","",IFERROR(IF($K243="Clásica",VLOOKUP("Argentina"&amp;$J243,Datos!$C:$D,2,0),VLOOKUP("Argentina"&amp;$J243,Datos!$C:$D,2,0)+VLOOKUP("Argentina"&amp;$K243,Datos!$H:$I,2,0)),"Error"))</f>
        <v/>
      </c>
      <c r="P243" s="61" t="str">
        <f aca="false">IF($M243="","",IFERROR(-$M243*$O243,"Error"))</f>
        <v/>
      </c>
      <c r="Q243" s="61" t="str">
        <f aca="false">IF($M243="","",IFERROR(-($P243-$P243/(1+Datos!$B$2)),"Error"))</f>
        <v/>
      </c>
      <c r="R243" s="61" t="str">
        <f aca="false">IF($M243="","",IF($M243&lt;=15000,-1000,IF($M243&lt;=25000,-2000,IF($M243&lt;=33000,-2400,0))))</f>
        <v/>
      </c>
      <c r="S243" s="61" t="str">
        <f aca="false">IF($M243="","",-($R243-$R243/(1+Datos!$B$2)))</f>
        <v/>
      </c>
      <c r="T243" s="61" t="str">
        <f aca="false">IF($M243="","",-$M243/(1+$L243)*$L243)</f>
        <v/>
      </c>
      <c r="U243" s="61" t="str">
        <f aca="false">IF($M243="","",$C243*$D243)</f>
        <v/>
      </c>
      <c r="V243" s="61" t="str">
        <f aca="false">IF($M243="","",-N($N243))</f>
        <v/>
      </c>
      <c r="W243" s="61" t="str">
        <f aca="false">IF($M243="","",-($V243-$V243/(1+Datos!$B$2)))</f>
        <v/>
      </c>
      <c r="X243" s="61" t="str">
        <f aca="false">IF($M243="","",-$M243*Datos!$C$2)</f>
        <v/>
      </c>
      <c r="Y243" s="61" t="str">
        <f aca="false">IF($M243="","",IFERROR($M243+$U243+$T243+$P243+$Q243+$R243+$S243+$V243+$W243+$X243,"Error"))</f>
        <v/>
      </c>
      <c r="Z243" s="61" t="str">
        <f aca="false">IF($M243="","",IFERROR($Y243-$E243,"Error"))</f>
        <v/>
      </c>
      <c r="AA243" s="60" t="str">
        <f aca="false">IF($M243="","",IFERROR($Z243/($M243+$T243),"Error"))</f>
        <v/>
      </c>
      <c r="AB243" s="62" t="str">
        <f aca="false">IF($M243="","",IFERROR($M243/$E243,"Error"))</f>
        <v/>
      </c>
      <c r="AD243" s="59"/>
      <c r="AE243" s="57"/>
      <c r="AF243" s="58"/>
      <c r="AG243" s="60" t="str">
        <f aca="false">IF(N($AD243)=0,"",IFERROR(($AD243/(1+$L243)-($AD243*$O243+IF($AD243&lt;=15000,1000,IF($AD243&lt;=25000,2000,IF($AD243&lt;=33000,2400,0)))+N($N243))/(1+Datos!$B$2)-$AD243*Datos!$C$2-$C243)/($AD243/(1+$L243)),"Error"))</f>
        <v/>
      </c>
      <c r="AH243" s="61" t="str">
        <f aca="false">IF(N($AD243)=0,"",IFERROR($AD243/(1+$L243)*(1-$AF243)-($AD243*$O243+IF($AD243&lt;=15000,1000,IF($AD243&lt;=25000,2000,IF($AD243&lt;=33000,2400,0)))+N($N243))/(1+Datos!$B$2)-$AD243*Datos!$C$2,"Error"))</f>
        <v/>
      </c>
      <c r="AI243" s="61" t="str">
        <f aca="false">IF($AH243="","",IFERROR($AH243*(1+$D243),"Error"))</f>
        <v/>
      </c>
      <c r="AJ243" s="60" t="str">
        <f aca="false">IF($AH243="","",IFERROR($C243/$AH243-1,"Error"))</f>
        <v/>
      </c>
      <c r="AK243" s="63" t="str">
        <f aca="false">IF($AH243="","",IFERROR(IF($C243&lt;=$AH243,"OK a ese precio","Bajar costo"),"Error"))</f>
        <v/>
      </c>
    </row>
    <row r="244" customFormat="false" ht="15" hidden="false" customHeight="false" outlineLevel="0" collapsed="false">
      <c r="E244" s="0" t="str">
        <f aca="false">IF($C244="","",$C244*(1+$D244))</f>
        <v/>
      </c>
      <c r="J244" s="57"/>
      <c r="K244" s="57"/>
      <c r="L244" s="58"/>
      <c r="M244" s="59"/>
      <c r="N244" s="59"/>
      <c r="O244" s="60" t="str">
        <f aca="false">IF($M244="","",IFERROR(IF($K244="Clásica",VLOOKUP("Argentina"&amp;$J244,Datos!$C:$D,2,0),VLOOKUP("Argentina"&amp;$J244,Datos!$C:$D,2,0)+VLOOKUP("Argentina"&amp;$K244,Datos!$H:$I,2,0)),"Error"))</f>
        <v/>
      </c>
      <c r="P244" s="61" t="str">
        <f aca="false">IF($M244="","",IFERROR(-$M244*$O244,"Error"))</f>
        <v/>
      </c>
      <c r="Q244" s="61" t="str">
        <f aca="false">IF($M244="","",IFERROR(-($P244-$P244/(1+Datos!$B$2)),"Error"))</f>
        <v/>
      </c>
      <c r="R244" s="61" t="str">
        <f aca="false">IF($M244="","",IF($M244&lt;=15000,-1000,IF($M244&lt;=25000,-2000,IF($M244&lt;=33000,-2400,0))))</f>
        <v/>
      </c>
      <c r="S244" s="61" t="str">
        <f aca="false">IF($M244="","",-($R244-$R244/(1+Datos!$B$2)))</f>
        <v/>
      </c>
      <c r="T244" s="61" t="str">
        <f aca="false">IF($M244="","",-$M244/(1+$L244)*$L244)</f>
        <v/>
      </c>
      <c r="U244" s="61" t="str">
        <f aca="false">IF($M244="","",$C244*$D244)</f>
        <v/>
      </c>
      <c r="V244" s="61" t="str">
        <f aca="false">IF($M244="","",-N($N244))</f>
        <v/>
      </c>
      <c r="W244" s="61" t="str">
        <f aca="false">IF($M244="","",-($V244-$V244/(1+Datos!$B$2)))</f>
        <v/>
      </c>
      <c r="X244" s="61" t="str">
        <f aca="false">IF($M244="","",-$M244*Datos!$C$2)</f>
        <v/>
      </c>
      <c r="Y244" s="61" t="str">
        <f aca="false">IF($M244="","",IFERROR($M244+$U244+$T244+$P244+$Q244+$R244+$S244+$V244+$W244+$X244,"Error"))</f>
        <v/>
      </c>
      <c r="Z244" s="61" t="str">
        <f aca="false">IF($M244="","",IFERROR($Y244-$E244,"Error"))</f>
        <v/>
      </c>
      <c r="AA244" s="60" t="str">
        <f aca="false">IF($M244="","",IFERROR($Z244/($M244+$T244),"Error"))</f>
        <v/>
      </c>
      <c r="AB244" s="62" t="str">
        <f aca="false">IF($M244="","",IFERROR($M244/$E244,"Error"))</f>
        <v/>
      </c>
      <c r="AD244" s="59"/>
      <c r="AE244" s="57"/>
      <c r="AF244" s="58"/>
      <c r="AG244" s="60" t="str">
        <f aca="false">IF(N($AD244)=0,"",IFERROR(($AD244/(1+$L244)-($AD244*$O244+IF($AD244&lt;=15000,1000,IF($AD244&lt;=25000,2000,IF($AD244&lt;=33000,2400,0)))+N($N244))/(1+Datos!$B$2)-$AD244*Datos!$C$2-$C244)/($AD244/(1+$L244)),"Error"))</f>
        <v/>
      </c>
      <c r="AH244" s="61" t="str">
        <f aca="false">IF(N($AD244)=0,"",IFERROR($AD244/(1+$L244)*(1-$AF244)-($AD244*$O244+IF($AD244&lt;=15000,1000,IF($AD244&lt;=25000,2000,IF($AD244&lt;=33000,2400,0)))+N($N244))/(1+Datos!$B$2)-$AD244*Datos!$C$2,"Error"))</f>
        <v/>
      </c>
      <c r="AI244" s="61" t="str">
        <f aca="false">IF($AH244="","",IFERROR($AH244*(1+$D244),"Error"))</f>
        <v/>
      </c>
      <c r="AJ244" s="60" t="str">
        <f aca="false">IF($AH244="","",IFERROR($C244/$AH244-1,"Error"))</f>
        <v/>
      </c>
      <c r="AK244" s="63" t="str">
        <f aca="false">IF($AH244="","",IFERROR(IF($C244&lt;=$AH244,"OK a ese precio","Bajar costo"),"Error"))</f>
        <v/>
      </c>
    </row>
    <row r="245" customFormat="false" ht="15" hidden="false" customHeight="false" outlineLevel="0" collapsed="false">
      <c r="E245" s="0" t="str">
        <f aca="false">IF($C245="","",$C245*(1+$D245))</f>
        <v/>
      </c>
      <c r="J245" s="57"/>
      <c r="K245" s="57"/>
      <c r="L245" s="58"/>
      <c r="M245" s="59"/>
      <c r="N245" s="59"/>
      <c r="O245" s="60" t="str">
        <f aca="false">IF($M245="","",IFERROR(IF($K245="Clásica",VLOOKUP("Argentina"&amp;$J245,Datos!$C:$D,2,0),VLOOKUP("Argentina"&amp;$J245,Datos!$C:$D,2,0)+VLOOKUP("Argentina"&amp;$K245,Datos!$H:$I,2,0)),"Error"))</f>
        <v/>
      </c>
      <c r="P245" s="61" t="str">
        <f aca="false">IF($M245="","",IFERROR(-$M245*$O245,"Error"))</f>
        <v/>
      </c>
      <c r="Q245" s="61" t="str">
        <f aca="false">IF($M245="","",IFERROR(-($P245-$P245/(1+Datos!$B$2)),"Error"))</f>
        <v/>
      </c>
      <c r="R245" s="61" t="str">
        <f aca="false">IF($M245="","",IF($M245&lt;=15000,-1000,IF($M245&lt;=25000,-2000,IF($M245&lt;=33000,-2400,0))))</f>
        <v/>
      </c>
      <c r="S245" s="61" t="str">
        <f aca="false">IF($M245="","",-($R245-$R245/(1+Datos!$B$2)))</f>
        <v/>
      </c>
      <c r="T245" s="61" t="str">
        <f aca="false">IF($M245="","",-$M245/(1+$L245)*$L245)</f>
        <v/>
      </c>
      <c r="U245" s="61" t="str">
        <f aca="false">IF($M245="","",$C245*$D245)</f>
        <v/>
      </c>
      <c r="V245" s="61" t="str">
        <f aca="false">IF($M245="","",-N($N245))</f>
        <v/>
      </c>
      <c r="W245" s="61" t="str">
        <f aca="false">IF($M245="","",-($V245-$V245/(1+Datos!$B$2)))</f>
        <v/>
      </c>
      <c r="X245" s="61" t="str">
        <f aca="false">IF($M245="","",-$M245*Datos!$C$2)</f>
        <v/>
      </c>
      <c r="Y245" s="61" t="str">
        <f aca="false">IF($M245="","",IFERROR($M245+$U245+$T245+$P245+$Q245+$R245+$S245+$V245+$W245+$X245,"Error"))</f>
        <v/>
      </c>
      <c r="Z245" s="61" t="str">
        <f aca="false">IF($M245="","",IFERROR($Y245-$E245,"Error"))</f>
        <v/>
      </c>
      <c r="AA245" s="60" t="str">
        <f aca="false">IF($M245="","",IFERROR($Z245/($M245+$T245),"Error"))</f>
        <v/>
      </c>
      <c r="AB245" s="62" t="str">
        <f aca="false">IF($M245="","",IFERROR($M245/$E245,"Error"))</f>
        <v/>
      </c>
      <c r="AD245" s="59"/>
      <c r="AE245" s="57"/>
      <c r="AF245" s="58"/>
      <c r="AG245" s="60" t="str">
        <f aca="false">IF(N($AD245)=0,"",IFERROR(($AD245/(1+$L245)-($AD245*$O245+IF($AD245&lt;=15000,1000,IF($AD245&lt;=25000,2000,IF($AD245&lt;=33000,2400,0)))+N($N245))/(1+Datos!$B$2)-$AD245*Datos!$C$2-$C245)/($AD245/(1+$L245)),"Error"))</f>
        <v/>
      </c>
      <c r="AH245" s="61" t="str">
        <f aca="false">IF(N($AD245)=0,"",IFERROR($AD245/(1+$L245)*(1-$AF245)-($AD245*$O245+IF($AD245&lt;=15000,1000,IF($AD245&lt;=25000,2000,IF($AD245&lt;=33000,2400,0)))+N($N245))/(1+Datos!$B$2)-$AD245*Datos!$C$2,"Error"))</f>
        <v/>
      </c>
      <c r="AI245" s="61" t="str">
        <f aca="false">IF($AH245="","",IFERROR($AH245*(1+$D245),"Error"))</f>
        <v/>
      </c>
      <c r="AJ245" s="60" t="str">
        <f aca="false">IF($AH245="","",IFERROR($C245/$AH245-1,"Error"))</f>
        <v/>
      </c>
      <c r="AK245" s="63" t="str">
        <f aca="false">IF($AH245="","",IFERROR(IF($C245&lt;=$AH245,"OK a ese precio","Bajar costo"),"Error"))</f>
        <v/>
      </c>
    </row>
    <row r="246" customFormat="false" ht="15" hidden="false" customHeight="false" outlineLevel="0" collapsed="false">
      <c r="E246" s="0" t="str">
        <f aca="false">IF($C246="","",$C246*(1+$D246))</f>
        <v/>
      </c>
      <c r="J246" s="57"/>
      <c r="K246" s="57"/>
      <c r="L246" s="58"/>
      <c r="M246" s="59"/>
      <c r="N246" s="59"/>
      <c r="O246" s="60" t="str">
        <f aca="false">IF($M246="","",IFERROR(IF($K246="Clásica",VLOOKUP("Argentina"&amp;$J246,Datos!$C:$D,2,0),VLOOKUP("Argentina"&amp;$J246,Datos!$C:$D,2,0)+VLOOKUP("Argentina"&amp;$K246,Datos!$H:$I,2,0)),"Error"))</f>
        <v/>
      </c>
      <c r="P246" s="61" t="str">
        <f aca="false">IF($M246="","",IFERROR(-$M246*$O246,"Error"))</f>
        <v/>
      </c>
      <c r="Q246" s="61" t="str">
        <f aca="false">IF($M246="","",IFERROR(-($P246-$P246/(1+Datos!$B$2)),"Error"))</f>
        <v/>
      </c>
      <c r="R246" s="61" t="str">
        <f aca="false">IF($M246="","",IF($M246&lt;=15000,-1000,IF($M246&lt;=25000,-2000,IF($M246&lt;=33000,-2400,0))))</f>
        <v/>
      </c>
      <c r="S246" s="61" t="str">
        <f aca="false">IF($M246="","",-($R246-$R246/(1+Datos!$B$2)))</f>
        <v/>
      </c>
      <c r="T246" s="61" t="str">
        <f aca="false">IF($M246="","",-$M246/(1+$L246)*$L246)</f>
        <v/>
      </c>
      <c r="U246" s="61" t="str">
        <f aca="false">IF($M246="","",$C246*$D246)</f>
        <v/>
      </c>
      <c r="V246" s="61" t="str">
        <f aca="false">IF($M246="","",-N($N246))</f>
        <v/>
      </c>
      <c r="W246" s="61" t="str">
        <f aca="false">IF($M246="","",-($V246-$V246/(1+Datos!$B$2)))</f>
        <v/>
      </c>
      <c r="X246" s="61" t="str">
        <f aca="false">IF($M246="","",-$M246*Datos!$C$2)</f>
        <v/>
      </c>
      <c r="Y246" s="61" t="str">
        <f aca="false">IF($M246="","",IFERROR($M246+$U246+$T246+$P246+$Q246+$R246+$S246+$V246+$W246+$X246,"Error"))</f>
        <v/>
      </c>
      <c r="Z246" s="61" t="str">
        <f aca="false">IF($M246="","",IFERROR($Y246-$E246,"Error"))</f>
        <v/>
      </c>
      <c r="AA246" s="60" t="str">
        <f aca="false">IF($M246="","",IFERROR($Z246/($M246+$T246),"Error"))</f>
        <v/>
      </c>
      <c r="AB246" s="62" t="str">
        <f aca="false">IF($M246="","",IFERROR($M246/$E246,"Error"))</f>
        <v/>
      </c>
      <c r="AD246" s="59"/>
      <c r="AE246" s="57"/>
      <c r="AF246" s="58"/>
      <c r="AG246" s="60" t="str">
        <f aca="false">IF(N($AD246)=0,"",IFERROR(($AD246/(1+$L246)-($AD246*$O246+IF($AD246&lt;=15000,1000,IF($AD246&lt;=25000,2000,IF($AD246&lt;=33000,2400,0)))+N($N246))/(1+Datos!$B$2)-$AD246*Datos!$C$2-$C246)/($AD246/(1+$L246)),"Error"))</f>
        <v/>
      </c>
      <c r="AH246" s="61" t="str">
        <f aca="false">IF(N($AD246)=0,"",IFERROR($AD246/(1+$L246)*(1-$AF246)-($AD246*$O246+IF($AD246&lt;=15000,1000,IF($AD246&lt;=25000,2000,IF($AD246&lt;=33000,2400,0)))+N($N246))/(1+Datos!$B$2)-$AD246*Datos!$C$2,"Error"))</f>
        <v/>
      </c>
      <c r="AI246" s="61" t="str">
        <f aca="false">IF($AH246="","",IFERROR($AH246*(1+$D246),"Error"))</f>
        <v/>
      </c>
      <c r="AJ246" s="60" t="str">
        <f aca="false">IF($AH246="","",IFERROR($C246/$AH246-1,"Error"))</f>
        <v/>
      </c>
      <c r="AK246" s="63" t="str">
        <f aca="false">IF($AH246="","",IFERROR(IF($C246&lt;=$AH246,"OK a ese precio","Bajar costo"),"Error"))</f>
        <v/>
      </c>
    </row>
    <row r="247" customFormat="false" ht="15" hidden="false" customHeight="false" outlineLevel="0" collapsed="false">
      <c r="E247" s="0" t="str">
        <f aca="false">IF($C247="","",$C247*(1+$D247))</f>
        <v/>
      </c>
      <c r="J247" s="57"/>
      <c r="K247" s="57"/>
      <c r="L247" s="58"/>
      <c r="M247" s="59"/>
      <c r="N247" s="59"/>
      <c r="O247" s="60" t="str">
        <f aca="false">IF($M247="","",IFERROR(IF($K247="Clásica",VLOOKUP("Argentina"&amp;$J247,Datos!$C:$D,2,0),VLOOKUP("Argentina"&amp;$J247,Datos!$C:$D,2,0)+VLOOKUP("Argentina"&amp;$K247,Datos!$H:$I,2,0)),"Error"))</f>
        <v/>
      </c>
      <c r="P247" s="61" t="str">
        <f aca="false">IF($M247="","",IFERROR(-$M247*$O247,"Error"))</f>
        <v/>
      </c>
      <c r="Q247" s="61" t="str">
        <f aca="false">IF($M247="","",IFERROR(-($P247-$P247/(1+Datos!$B$2)),"Error"))</f>
        <v/>
      </c>
      <c r="R247" s="61" t="str">
        <f aca="false">IF($M247="","",IF($M247&lt;=15000,-1000,IF($M247&lt;=25000,-2000,IF($M247&lt;=33000,-2400,0))))</f>
        <v/>
      </c>
      <c r="S247" s="61" t="str">
        <f aca="false">IF($M247="","",-($R247-$R247/(1+Datos!$B$2)))</f>
        <v/>
      </c>
      <c r="T247" s="61" t="str">
        <f aca="false">IF($M247="","",-$M247/(1+$L247)*$L247)</f>
        <v/>
      </c>
      <c r="U247" s="61" t="str">
        <f aca="false">IF($M247="","",$C247*$D247)</f>
        <v/>
      </c>
      <c r="V247" s="61" t="str">
        <f aca="false">IF($M247="","",-N($N247))</f>
        <v/>
      </c>
      <c r="W247" s="61" t="str">
        <f aca="false">IF($M247="","",-($V247-$V247/(1+Datos!$B$2)))</f>
        <v/>
      </c>
      <c r="X247" s="61" t="str">
        <f aca="false">IF($M247="","",-$M247*Datos!$C$2)</f>
        <v/>
      </c>
      <c r="Y247" s="61" t="str">
        <f aca="false">IF($M247="","",IFERROR($M247+$U247+$T247+$P247+$Q247+$R247+$S247+$V247+$W247+$X247,"Error"))</f>
        <v/>
      </c>
      <c r="Z247" s="61" t="str">
        <f aca="false">IF($M247="","",IFERROR($Y247-$E247,"Error"))</f>
        <v/>
      </c>
      <c r="AA247" s="60" t="str">
        <f aca="false">IF($M247="","",IFERROR($Z247/($M247+$T247),"Error"))</f>
        <v/>
      </c>
      <c r="AB247" s="62" t="str">
        <f aca="false">IF($M247="","",IFERROR($M247/$E247,"Error"))</f>
        <v/>
      </c>
      <c r="AD247" s="59"/>
      <c r="AE247" s="57"/>
      <c r="AF247" s="58"/>
      <c r="AG247" s="60" t="str">
        <f aca="false">IF(N($AD247)=0,"",IFERROR(($AD247/(1+$L247)-($AD247*$O247+IF($AD247&lt;=15000,1000,IF($AD247&lt;=25000,2000,IF($AD247&lt;=33000,2400,0)))+N($N247))/(1+Datos!$B$2)-$AD247*Datos!$C$2-$C247)/($AD247/(1+$L247)),"Error"))</f>
        <v/>
      </c>
      <c r="AH247" s="61" t="str">
        <f aca="false">IF(N($AD247)=0,"",IFERROR($AD247/(1+$L247)*(1-$AF247)-($AD247*$O247+IF($AD247&lt;=15000,1000,IF($AD247&lt;=25000,2000,IF($AD247&lt;=33000,2400,0)))+N($N247))/(1+Datos!$B$2)-$AD247*Datos!$C$2,"Error"))</f>
        <v/>
      </c>
      <c r="AI247" s="61" t="str">
        <f aca="false">IF($AH247="","",IFERROR($AH247*(1+$D247),"Error"))</f>
        <v/>
      </c>
      <c r="AJ247" s="60" t="str">
        <f aca="false">IF($AH247="","",IFERROR($C247/$AH247-1,"Error"))</f>
        <v/>
      </c>
      <c r="AK247" s="63" t="str">
        <f aca="false">IF($AH247="","",IFERROR(IF($C247&lt;=$AH247,"OK a ese precio","Bajar costo"),"Error"))</f>
        <v/>
      </c>
    </row>
    <row r="248" customFormat="false" ht="15" hidden="false" customHeight="false" outlineLevel="0" collapsed="false">
      <c r="E248" s="0" t="str">
        <f aca="false">IF($C248="","",$C248*(1+$D248))</f>
        <v/>
      </c>
      <c r="J248" s="57"/>
      <c r="K248" s="57"/>
      <c r="L248" s="58"/>
      <c r="M248" s="59"/>
      <c r="N248" s="59"/>
      <c r="O248" s="60" t="str">
        <f aca="false">IF($M248="","",IFERROR(IF($K248="Clásica",VLOOKUP("Argentina"&amp;$J248,Datos!$C:$D,2,0),VLOOKUP("Argentina"&amp;$J248,Datos!$C:$D,2,0)+VLOOKUP("Argentina"&amp;$K248,Datos!$H:$I,2,0)),"Error"))</f>
        <v/>
      </c>
      <c r="P248" s="61" t="str">
        <f aca="false">IF($M248="","",IFERROR(-$M248*$O248,"Error"))</f>
        <v/>
      </c>
      <c r="Q248" s="61" t="str">
        <f aca="false">IF($M248="","",IFERROR(-($P248-$P248/(1+Datos!$B$2)),"Error"))</f>
        <v/>
      </c>
      <c r="R248" s="61" t="str">
        <f aca="false">IF($M248="","",IF($M248&lt;=15000,-1000,IF($M248&lt;=25000,-2000,IF($M248&lt;=33000,-2400,0))))</f>
        <v/>
      </c>
      <c r="S248" s="61" t="str">
        <f aca="false">IF($M248="","",-($R248-$R248/(1+Datos!$B$2)))</f>
        <v/>
      </c>
      <c r="T248" s="61" t="str">
        <f aca="false">IF($M248="","",-$M248/(1+$L248)*$L248)</f>
        <v/>
      </c>
      <c r="U248" s="61" t="str">
        <f aca="false">IF($M248="","",$C248*$D248)</f>
        <v/>
      </c>
      <c r="V248" s="61" t="str">
        <f aca="false">IF($M248="","",-N($N248))</f>
        <v/>
      </c>
      <c r="W248" s="61" t="str">
        <f aca="false">IF($M248="","",-($V248-$V248/(1+Datos!$B$2)))</f>
        <v/>
      </c>
      <c r="X248" s="61" t="str">
        <f aca="false">IF($M248="","",-$M248*Datos!$C$2)</f>
        <v/>
      </c>
      <c r="Y248" s="61" t="str">
        <f aca="false">IF($M248="","",IFERROR($M248+$U248+$T248+$P248+$Q248+$R248+$S248+$V248+$W248+$X248,"Error"))</f>
        <v/>
      </c>
      <c r="Z248" s="61" t="str">
        <f aca="false">IF($M248="","",IFERROR($Y248-$E248,"Error"))</f>
        <v/>
      </c>
      <c r="AA248" s="60" t="str">
        <f aca="false">IF($M248="","",IFERROR($Z248/($M248+$T248),"Error"))</f>
        <v/>
      </c>
      <c r="AB248" s="62" t="str">
        <f aca="false">IF($M248="","",IFERROR($M248/$E248,"Error"))</f>
        <v/>
      </c>
      <c r="AD248" s="59"/>
      <c r="AE248" s="57"/>
      <c r="AF248" s="58"/>
      <c r="AG248" s="60" t="str">
        <f aca="false">IF(N($AD248)=0,"",IFERROR(($AD248/(1+$L248)-($AD248*$O248+IF($AD248&lt;=15000,1000,IF($AD248&lt;=25000,2000,IF($AD248&lt;=33000,2400,0)))+N($N248))/(1+Datos!$B$2)-$AD248*Datos!$C$2-$C248)/($AD248/(1+$L248)),"Error"))</f>
        <v/>
      </c>
      <c r="AH248" s="61" t="str">
        <f aca="false">IF(N($AD248)=0,"",IFERROR($AD248/(1+$L248)*(1-$AF248)-($AD248*$O248+IF($AD248&lt;=15000,1000,IF($AD248&lt;=25000,2000,IF($AD248&lt;=33000,2400,0)))+N($N248))/(1+Datos!$B$2)-$AD248*Datos!$C$2,"Error"))</f>
        <v/>
      </c>
      <c r="AI248" s="61" t="str">
        <f aca="false">IF($AH248="","",IFERROR($AH248*(1+$D248),"Error"))</f>
        <v/>
      </c>
      <c r="AJ248" s="60" t="str">
        <f aca="false">IF($AH248="","",IFERROR($C248/$AH248-1,"Error"))</f>
        <v/>
      </c>
      <c r="AK248" s="63" t="str">
        <f aca="false">IF($AH248="","",IFERROR(IF($C248&lt;=$AH248,"OK a ese precio","Bajar costo"),"Error"))</f>
        <v/>
      </c>
    </row>
    <row r="249" customFormat="false" ht="15" hidden="false" customHeight="false" outlineLevel="0" collapsed="false">
      <c r="E249" s="0" t="str">
        <f aca="false">IF($C249="","",$C249*(1+$D249))</f>
        <v/>
      </c>
      <c r="J249" s="57"/>
      <c r="K249" s="57"/>
      <c r="L249" s="58"/>
      <c r="M249" s="59"/>
      <c r="N249" s="59"/>
      <c r="O249" s="60" t="str">
        <f aca="false">IF($M249="","",IFERROR(IF($K249="Clásica",VLOOKUP("Argentina"&amp;$J249,Datos!$C:$D,2,0),VLOOKUP("Argentina"&amp;$J249,Datos!$C:$D,2,0)+VLOOKUP("Argentina"&amp;$K249,Datos!$H:$I,2,0)),"Error"))</f>
        <v/>
      </c>
      <c r="P249" s="61" t="str">
        <f aca="false">IF($M249="","",IFERROR(-$M249*$O249,"Error"))</f>
        <v/>
      </c>
      <c r="Q249" s="61" t="str">
        <f aca="false">IF($M249="","",IFERROR(-($P249-$P249/(1+Datos!$B$2)),"Error"))</f>
        <v/>
      </c>
      <c r="R249" s="61" t="str">
        <f aca="false">IF($M249="","",IF($M249&lt;=15000,-1000,IF($M249&lt;=25000,-2000,IF($M249&lt;=33000,-2400,0))))</f>
        <v/>
      </c>
      <c r="S249" s="61" t="str">
        <f aca="false">IF($M249="","",-($R249-$R249/(1+Datos!$B$2)))</f>
        <v/>
      </c>
      <c r="T249" s="61" t="str">
        <f aca="false">IF($M249="","",-$M249/(1+$L249)*$L249)</f>
        <v/>
      </c>
      <c r="U249" s="61" t="str">
        <f aca="false">IF($M249="","",$C249*$D249)</f>
        <v/>
      </c>
      <c r="V249" s="61" t="str">
        <f aca="false">IF($M249="","",-N($N249))</f>
        <v/>
      </c>
      <c r="W249" s="61" t="str">
        <f aca="false">IF($M249="","",-($V249-$V249/(1+Datos!$B$2)))</f>
        <v/>
      </c>
      <c r="X249" s="61" t="str">
        <f aca="false">IF($M249="","",-$M249*Datos!$C$2)</f>
        <v/>
      </c>
      <c r="Y249" s="61" t="str">
        <f aca="false">IF($M249="","",IFERROR($M249+$U249+$T249+$P249+$Q249+$R249+$S249+$V249+$W249+$X249,"Error"))</f>
        <v/>
      </c>
      <c r="Z249" s="61" t="str">
        <f aca="false">IF($M249="","",IFERROR($Y249-$E249,"Error"))</f>
        <v/>
      </c>
      <c r="AA249" s="60" t="str">
        <f aca="false">IF($M249="","",IFERROR($Z249/($M249+$T249),"Error"))</f>
        <v/>
      </c>
      <c r="AB249" s="62" t="str">
        <f aca="false">IF($M249="","",IFERROR($M249/$E249,"Error"))</f>
        <v/>
      </c>
      <c r="AD249" s="59"/>
      <c r="AE249" s="57"/>
      <c r="AF249" s="58"/>
      <c r="AG249" s="60" t="str">
        <f aca="false">IF(N($AD249)=0,"",IFERROR(($AD249/(1+$L249)-($AD249*$O249+IF($AD249&lt;=15000,1000,IF($AD249&lt;=25000,2000,IF($AD249&lt;=33000,2400,0)))+N($N249))/(1+Datos!$B$2)-$AD249*Datos!$C$2-$C249)/($AD249/(1+$L249)),"Error"))</f>
        <v/>
      </c>
      <c r="AH249" s="61" t="str">
        <f aca="false">IF(N($AD249)=0,"",IFERROR($AD249/(1+$L249)*(1-$AF249)-($AD249*$O249+IF($AD249&lt;=15000,1000,IF($AD249&lt;=25000,2000,IF($AD249&lt;=33000,2400,0)))+N($N249))/(1+Datos!$B$2)-$AD249*Datos!$C$2,"Error"))</f>
        <v/>
      </c>
      <c r="AI249" s="61" t="str">
        <f aca="false">IF($AH249="","",IFERROR($AH249*(1+$D249),"Error"))</f>
        <v/>
      </c>
      <c r="AJ249" s="60" t="str">
        <f aca="false">IF($AH249="","",IFERROR($C249/$AH249-1,"Error"))</f>
        <v/>
      </c>
      <c r="AK249" s="63" t="str">
        <f aca="false">IF($AH249="","",IFERROR(IF($C249&lt;=$AH249,"OK a ese precio","Bajar costo"),"Error"))</f>
        <v/>
      </c>
    </row>
    <row r="250" customFormat="false" ht="15" hidden="false" customHeight="false" outlineLevel="0" collapsed="false">
      <c r="E250" s="0" t="str">
        <f aca="false">IF($C250="","",$C250*(1+$D250))</f>
        <v/>
      </c>
      <c r="J250" s="57"/>
      <c r="K250" s="57"/>
      <c r="L250" s="58"/>
      <c r="M250" s="59"/>
      <c r="N250" s="59"/>
      <c r="O250" s="60" t="str">
        <f aca="false">IF($M250="","",IFERROR(IF($K250="Clásica",VLOOKUP("Argentina"&amp;$J250,Datos!$C:$D,2,0),VLOOKUP("Argentina"&amp;$J250,Datos!$C:$D,2,0)+VLOOKUP("Argentina"&amp;$K250,Datos!$H:$I,2,0)),"Error"))</f>
        <v/>
      </c>
      <c r="P250" s="61" t="str">
        <f aca="false">IF($M250="","",IFERROR(-$M250*$O250,"Error"))</f>
        <v/>
      </c>
      <c r="Q250" s="61" t="str">
        <f aca="false">IF($M250="","",IFERROR(-($P250-$P250/(1+Datos!$B$2)),"Error"))</f>
        <v/>
      </c>
      <c r="R250" s="61" t="str">
        <f aca="false">IF($M250="","",IF($M250&lt;=15000,-1000,IF($M250&lt;=25000,-2000,IF($M250&lt;=33000,-2400,0))))</f>
        <v/>
      </c>
      <c r="S250" s="61" t="str">
        <f aca="false">IF($M250="","",-($R250-$R250/(1+Datos!$B$2)))</f>
        <v/>
      </c>
      <c r="T250" s="61" t="str">
        <f aca="false">IF($M250="","",-$M250/(1+$L250)*$L250)</f>
        <v/>
      </c>
      <c r="U250" s="61" t="str">
        <f aca="false">IF($M250="","",$C250*$D250)</f>
        <v/>
      </c>
      <c r="V250" s="61" t="str">
        <f aca="false">IF($M250="","",-N($N250))</f>
        <v/>
      </c>
      <c r="W250" s="61" t="str">
        <f aca="false">IF($M250="","",-($V250-$V250/(1+Datos!$B$2)))</f>
        <v/>
      </c>
      <c r="X250" s="61" t="str">
        <f aca="false">IF($M250="","",-$M250*Datos!$C$2)</f>
        <v/>
      </c>
      <c r="Y250" s="61" t="str">
        <f aca="false">IF($M250="","",IFERROR($M250+$U250+$T250+$P250+$Q250+$R250+$S250+$V250+$W250+$X250,"Error"))</f>
        <v/>
      </c>
      <c r="Z250" s="61" t="str">
        <f aca="false">IF($M250="","",IFERROR($Y250-$E250,"Error"))</f>
        <v/>
      </c>
      <c r="AA250" s="60" t="str">
        <f aca="false">IF($M250="","",IFERROR($Z250/($M250+$T250),"Error"))</f>
        <v/>
      </c>
      <c r="AB250" s="62" t="str">
        <f aca="false">IF($M250="","",IFERROR($M250/$E250,"Error"))</f>
        <v/>
      </c>
      <c r="AD250" s="59"/>
      <c r="AE250" s="57"/>
      <c r="AF250" s="58"/>
      <c r="AG250" s="60" t="str">
        <f aca="false">IF(N($AD250)=0,"",IFERROR(($AD250/(1+$L250)-($AD250*$O250+IF($AD250&lt;=15000,1000,IF($AD250&lt;=25000,2000,IF($AD250&lt;=33000,2400,0)))+N($N250))/(1+Datos!$B$2)-$AD250*Datos!$C$2-$C250)/($AD250/(1+$L250)),"Error"))</f>
        <v/>
      </c>
      <c r="AH250" s="61" t="str">
        <f aca="false">IF(N($AD250)=0,"",IFERROR($AD250/(1+$L250)*(1-$AF250)-($AD250*$O250+IF($AD250&lt;=15000,1000,IF($AD250&lt;=25000,2000,IF($AD250&lt;=33000,2400,0)))+N($N250))/(1+Datos!$B$2)-$AD250*Datos!$C$2,"Error"))</f>
        <v/>
      </c>
      <c r="AI250" s="61" t="str">
        <f aca="false">IF($AH250="","",IFERROR($AH250*(1+$D250),"Error"))</f>
        <v/>
      </c>
      <c r="AJ250" s="60" t="str">
        <f aca="false">IF($AH250="","",IFERROR($C250/$AH250-1,"Error"))</f>
        <v/>
      </c>
      <c r="AK250" s="63" t="str">
        <f aca="false">IF($AH250="","",IFERROR(IF($C250&lt;=$AH250,"OK a ese precio","Bajar costo"),"Error"))</f>
        <v/>
      </c>
    </row>
    <row r="251" customFormat="false" ht="15" hidden="false" customHeight="false" outlineLevel="0" collapsed="false">
      <c r="E251" s="0" t="str">
        <f aca="false">IF($C251="","",$C251*(1+$D251))</f>
        <v/>
      </c>
      <c r="J251" s="57"/>
      <c r="K251" s="57"/>
      <c r="L251" s="58"/>
      <c r="M251" s="59"/>
      <c r="N251" s="59"/>
      <c r="O251" s="60" t="str">
        <f aca="false">IF($M251="","",IFERROR(IF($K251="Clásica",VLOOKUP("Argentina"&amp;$J251,Datos!$C:$D,2,0),VLOOKUP("Argentina"&amp;$J251,Datos!$C:$D,2,0)+VLOOKUP("Argentina"&amp;$K251,Datos!$H:$I,2,0)),"Error"))</f>
        <v/>
      </c>
      <c r="P251" s="61" t="str">
        <f aca="false">IF($M251="","",IFERROR(-$M251*$O251,"Error"))</f>
        <v/>
      </c>
      <c r="Q251" s="61" t="str">
        <f aca="false">IF($M251="","",IFERROR(-($P251-$P251/(1+Datos!$B$2)),"Error"))</f>
        <v/>
      </c>
      <c r="R251" s="61" t="str">
        <f aca="false">IF($M251="","",IF($M251&lt;=15000,-1000,IF($M251&lt;=25000,-2000,IF($M251&lt;=33000,-2400,0))))</f>
        <v/>
      </c>
      <c r="S251" s="61" t="str">
        <f aca="false">IF($M251="","",-($R251-$R251/(1+Datos!$B$2)))</f>
        <v/>
      </c>
      <c r="T251" s="61" t="str">
        <f aca="false">IF($M251="","",-$M251/(1+$L251)*$L251)</f>
        <v/>
      </c>
      <c r="U251" s="61" t="str">
        <f aca="false">IF($M251="","",$C251*$D251)</f>
        <v/>
      </c>
      <c r="V251" s="61" t="str">
        <f aca="false">IF($M251="","",-N($N251))</f>
        <v/>
      </c>
      <c r="W251" s="61" t="str">
        <f aca="false">IF($M251="","",-($V251-$V251/(1+Datos!$B$2)))</f>
        <v/>
      </c>
      <c r="X251" s="61" t="str">
        <f aca="false">IF($M251="","",-$M251*Datos!$C$2)</f>
        <v/>
      </c>
      <c r="Y251" s="61" t="str">
        <f aca="false">IF($M251="","",IFERROR($M251+$U251+$T251+$P251+$Q251+$R251+$S251+$V251+$W251+$X251,"Error"))</f>
        <v/>
      </c>
      <c r="Z251" s="61" t="str">
        <f aca="false">IF($M251="","",IFERROR($Y251-$E251,"Error"))</f>
        <v/>
      </c>
      <c r="AA251" s="60" t="str">
        <f aca="false">IF($M251="","",IFERROR($Z251/($M251+$T251),"Error"))</f>
        <v/>
      </c>
      <c r="AB251" s="62" t="str">
        <f aca="false">IF($M251="","",IFERROR($M251/$E251,"Error"))</f>
        <v/>
      </c>
      <c r="AD251" s="59"/>
      <c r="AE251" s="57"/>
      <c r="AF251" s="58"/>
      <c r="AG251" s="60" t="str">
        <f aca="false">IF(N($AD251)=0,"",IFERROR(($AD251/(1+$L251)-($AD251*$O251+IF($AD251&lt;=15000,1000,IF($AD251&lt;=25000,2000,IF($AD251&lt;=33000,2400,0)))+N($N251))/(1+Datos!$B$2)-$AD251*Datos!$C$2-$C251)/($AD251/(1+$L251)),"Error"))</f>
        <v/>
      </c>
      <c r="AH251" s="61" t="str">
        <f aca="false">IF(N($AD251)=0,"",IFERROR($AD251/(1+$L251)*(1-$AF251)-($AD251*$O251+IF($AD251&lt;=15000,1000,IF($AD251&lt;=25000,2000,IF($AD251&lt;=33000,2400,0)))+N($N251))/(1+Datos!$B$2)-$AD251*Datos!$C$2,"Error"))</f>
        <v/>
      </c>
      <c r="AI251" s="61" t="str">
        <f aca="false">IF($AH251="","",IFERROR($AH251*(1+$D251),"Error"))</f>
        <v/>
      </c>
      <c r="AJ251" s="60" t="str">
        <f aca="false">IF($AH251="","",IFERROR($C251/$AH251-1,"Error"))</f>
        <v/>
      </c>
      <c r="AK251" s="63" t="str">
        <f aca="false">IF($AH251="","",IFERROR(IF($C251&lt;=$AH251,"OK a ese precio","Bajar costo"),"Error"))</f>
        <v/>
      </c>
    </row>
    <row r="252" customFormat="false" ht="15" hidden="false" customHeight="false" outlineLevel="0" collapsed="false">
      <c r="E252" s="0" t="str">
        <f aca="false">IF($C252="","",$C252*(1+$D252))</f>
        <v/>
      </c>
      <c r="J252" s="57"/>
      <c r="K252" s="57"/>
      <c r="L252" s="58"/>
      <c r="M252" s="59"/>
      <c r="N252" s="59"/>
      <c r="O252" s="60" t="str">
        <f aca="false">IF($M252="","",IFERROR(IF($K252="Clásica",VLOOKUP("Argentina"&amp;$J252,Datos!$C:$D,2,0),VLOOKUP("Argentina"&amp;$J252,Datos!$C:$D,2,0)+VLOOKUP("Argentina"&amp;$K252,Datos!$H:$I,2,0)),"Error"))</f>
        <v/>
      </c>
      <c r="P252" s="61" t="str">
        <f aca="false">IF($M252="","",IFERROR(-$M252*$O252,"Error"))</f>
        <v/>
      </c>
      <c r="Q252" s="61" t="str">
        <f aca="false">IF($M252="","",IFERROR(-($P252-$P252/(1+Datos!$B$2)),"Error"))</f>
        <v/>
      </c>
      <c r="R252" s="61" t="str">
        <f aca="false">IF($M252="","",IF($M252&lt;=15000,-1000,IF($M252&lt;=25000,-2000,IF($M252&lt;=33000,-2400,0))))</f>
        <v/>
      </c>
      <c r="S252" s="61" t="str">
        <f aca="false">IF($M252="","",-($R252-$R252/(1+Datos!$B$2)))</f>
        <v/>
      </c>
      <c r="T252" s="61" t="str">
        <f aca="false">IF($M252="","",-$M252/(1+$L252)*$L252)</f>
        <v/>
      </c>
      <c r="U252" s="61" t="str">
        <f aca="false">IF($M252="","",$C252*$D252)</f>
        <v/>
      </c>
      <c r="V252" s="61" t="str">
        <f aca="false">IF($M252="","",-N($N252))</f>
        <v/>
      </c>
      <c r="W252" s="61" t="str">
        <f aca="false">IF($M252="","",-($V252-$V252/(1+Datos!$B$2)))</f>
        <v/>
      </c>
      <c r="X252" s="61" t="str">
        <f aca="false">IF($M252="","",-$M252*Datos!$C$2)</f>
        <v/>
      </c>
      <c r="Y252" s="61" t="str">
        <f aca="false">IF($M252="","",IFERROR($M252+$U252+$T252+$P252+$Q252+$R252+$S252+$V252+$W252+$X252,"Error"))</f>
        <v/>
      </c>
      <c r="Z252" s="61" t="str">
        <f aca="false">IF($M252="","",IFERROR($Y252-$E252,"Error"))</f>
        <v/>
      </c>
      <c r="AA252" s="60" t="str">
        <f aca="false">IF($M252="","",IFERROR($Z252/($M252+$T252),"Error"))</f>
        <v/>
      </c>
      <c r="AB252" s="62" t="str">
        <f aca="false">IF($M252="","",IFERROR($M252/$E252,"Error"))</f>
        <v/>
      </c>
      <c r="AD252" s="59"/>
      <c r="AE252" s="57"/>
      <c r="AF252" s="58"/>
      <c r="AG252" s="60" t="str">
        <f aca="false">IF(N($AD252)=0,"",IFERROR(($AD252/(1+$L252)-($AD252*$O252+IF($AD252&lt;=15000,1000,IF($AD252&lt;=25000,2000,IF($AD252&lt;=33000,2400,0)))+N($N252))/(1+Datos!$B$2)-$AD252*Datos!$C$2-$C252)/($AD252/(1+$L252)),"Error"))</f>
        <v/>
      </c>
      <c r="AH252" s="61" t="str">
        <f aca="false">IF(N($AD252)=0,"",IFERROR($AD252/(1+$L252)*(1-$AF252)-($AD252*$O252+IF($AD252&lt;=15000,1000,IF($AD252&lt;=25000,2000,IF($AD252&lt;=33000,2400,0)))+N($N252))/(1+Datos!$B$2)-$AD252*Datos!$C$2,"Error"))</f>
        <v/>
      </c>
      <c r="AI252" s="61" t="str">
        <f aca="false">IF($AH252="","",IFERROR($AH252*(1+$D252),"Error"))</f>
        <v/>
      </c>
      <c r="AJ252" s="60" t="str">
        <f aca="false">IF($AH252="","",IFERROR($C252/$AH252-1,"Error"))</f>
        <v/>
      </c>
      <c r="AK252" s="63" t="str">
        <f aca="false">IF($AH252="","",IFERROR(IF($C252&lt;=$AH252,"OK a ese precio","Bajar costo"),"Error"))</f>
        <v/>
      </c>
    </row>
    <row r="253" customFormat="false" ht="15" hidden="false" customHeight="false" outlineLevel="0" collapsed="false">
      <c r="E253" s="0" t="str">
        <f aca="false">IF($C253="","",$C253*(1+$D253))</f>
        <v/>
      </c>
      <c r="J253" s="57"/>
      <c r="K253" s="57"/>
      <c r="L253" s="58"/>
      <c r="M253" s="59"/>
      <c r="N253" s="59"/>
      <c r="O253" s="60" t="str">
        <f aca="false">IF($M253="","",IFERROR(IF($K253="Clásica",VLOOKUP("Argentina"&amp;$J253,Datos!$C:$D,2,0),VLOOKUP("Argentina"&amp;$J253,Datos!$C:$D,2,0)+VLOOKUP("Argentina"&amp;$K253,Datos!$H:$I,2,0)),"Error"))</f>
        <v/>
      </c>
      <c r="P253" s="61" t="str">
        <f aca="false">IF($M253="","",IFERROR(-$M253*$O253,"Error"))</f>
        <v/>
      </c>
      <c r="Q253" s="61" t="str">
        <f aca="false">IF($M253="","",IFERROR(-($P253-$P253/(1+Datos!$B$2)),"Error"))</f>
        <v/>
      </c>
      <c r="R253" s="61" t="str">
        <f aca="false">IF($M253="","",IF($M253&lt;=15000,-1000,IF($M253&lt;=25000,-2000,IF($M253&lt;=33000,-2400,0))))</f>
        <v/>
      </c>
      <c r="S253" s="61" t="str">
        <f aca="false">IF($M253="","",-($R253-$R253/(1+Datos!$B$2)))</f>
        <v/>
      </c>
      <c r="T253" s="61" t="str">
        <f aca="false">IF($M253="","",-$M253/(1+$L253)*$L253)</f>
        <v/>
      </c>
      <c r="U253" s="61" t="str">
        <f aca="false">IF($M253="","",$C253*$D253)</f>
        <v/>
      </c>
      <c r="V253" s="61" t="str">
        <f aca="false">IF($M253="","",-N($N253))</f>
        <v/>
      </c>
      <c r="W253" s="61" t="str">
        <f aca="false">IF($M253="","",-($V253-$V253/(1+Datos!$B$2)))</f>
        <v/>
      </c>
      <c r="X253" s="61" t="str">
        <f aca="false">IF($M253="","",-$M253*Datos!$C$2)</f>
        <v/>
      </c>
      <c r="Y253" s="61" t="str">
        <f aca="false">IF($M253="","",IFERROR($M253+$U253+$T253+$P253+$Q253+$R253+$S253+$V253+$W253+$X253,"Error"))</f>
        <v/>
      </c>
      <c r="Z253" s="61" t="str">
        <f aca="false">IF($M253="","",IFERROR($Y253-$E253,"Error"))</f>
        <v/>
      </c>
      <c r="AA253" s="60" t="str">
        <f aca="false">IF($M253="","",IFERROR($Z253/($M253+$T253),"Error"))</f>
        <v/>
      </c>
      <c r="AB253" s="62" t="str">
        <f aca="false">IF($M253="","",IFERROR($M253/$E253,"Error"))</f>
        <v/>
      </c>
      <c r="AD253" s="59"/>
      <c r="AE253" s="57"/>
      <c r="AF253" s="58"/>
      <c r="AG253" s="60" t="str">
        <f aca="false">IF(N($AD253)=0,"",IFERROR(($AD253/(1+$L253)-($AD253*$O253+IF($AD253&lt;=15000,1000,IF($AD253&lt;=25000,2000,IF($AD253&lt;=33000,2400,0)))+N($N253))/(1+Datos!$B$2)-$AD253*Datos!$C$2-$C253)/($AD253/(1+$L253)),"Error"))</f>
        <v/>
      </c>
      <c r="AH253" s="61" t="str">
        <f aca="false">IF(N($AD253)=0,"",IFERROR($AD253/(1+$L253)*(1-$AF253)-($AD253*$O253+IF($AD253&lt;=15000,1000,IF($AD253&lt;=25000,2000,IF($AD253&lt;=33000,2400,0)))+N($N253))/(1+Datos!$B$2)-$AD253*Datos!$C$2,"Error"))</f>
        <v/>
      </c>
      <c r="AI253" s="61" t="str">
        <f aca="false">IF($AH253="","",IFERROR($AH253*(1+$D253),"Error"))</f>
        <v/>
      </c>
      <c r="AJ253" s="60" t="str">
        <f aca="false">IF($AH253="","",IFERROR($C253/$AH253-1,"Error"))</f>
        <v/>
      </c>
      <c r="AK253" s="63" t="str">
        <f aca="false">IF($AH253="","",IFERROR(IF($C253&lt;=$AH253,"OK a ese precio","Bajar costo"),"Error"))</f>
        <v/>
      </c>
    </row>
    <row r="254" customFormat="false" ht="15" hidden="false" customHeight="false" outlineLevel="0" collapsed="false">
      <c r="E254" s="0" t="str">
        <f aca="false">IF($C254="","",$C254*(1+$D254))</f>
        <v/>
      </c>
      <c r="J254" s="57"/>
      <c r="K254" s="57"/>
      <c r="L254" s="58"/>
      <c r="M254" s="59"/>
      <c r="N254" s="59"/>
      <c r="O254" s="60" t="str">
        <f aca="false">IF($M254="","",IFERROR(IF($K254="Clásica",VLOOKUP("Argentina"&amp;$J254,Datos!$C:$D,2,0),VLOOKUP("Argentina"&amp;$J254,Datos!$C:$D,2,0)+VLOOKUP("Argentina"&amp;$K254,Datos!$H:$I,2,0)),"Error"))</f>
        <v/>
      </c>
      <c r="P254" s="61" t="str">
        <f aca="false">IF($M254="","",IFERROR(-$M254*$O254,"Error"))</f>
        <v/>
      </c>
      <c r="Q254" s="61" t="str">
        <f aca="false">IF($M254="","",IFERROR(-($P254-$P254/(1+Datos!$B$2)),"Error"))</f>
        <v/>
      </c>
      <c r="R254" s="61" t="str">
        <f aca="false">IF($M254="","",IF($M254&lt;=15000,-1000,IF($M254&lt;=25000,-2000,IF($M254&lt;=33000,-2400,0))))</f>
        <v/>
      </c>
      <c r="S254" s="61" t="str">
        <f aca="false">IF($M254="","",-($R254-$R254/(1+Datos!$B$2)))</f>
        <v/>
      </c>
      <c r="T254" s="61" t="str">
        <f aca="false">IF($M254="","",-$M254/(1+$L254)*$L254)</f>
        <v/>
      </c>
      <c r="U254" s="61" t="str">
        <f aca="false">IF($M254="","",$C254*$D254)</f>
        <v/>
      </c>
      <c r="V254" s="61" t="str">
        <f aca="false">IF($M254="","",-N($N254))</f>
        <v/>
      </c>
      <c r="W254" s="61" t="str">
        <f aca="false">IF($M254="","",-($V254-$V254/(1+Datos!$B$2)))</f>
        <v/>
      </c>
      <c r="X254" s="61" t="str">
        <f aca="false">IF($M254="","",-$M254*Datos!$C$2)</f>
        <v/>
      </c>
      <c r="Y254" s="61" t="str">
        <f aca="false">IF($M254="","",IFERROR($M254+$U254+$T254+$P254+$Q254+$R254+$S254+$V254+$W254+$X254,"Error"))</f>
        <v/>
      </c>
      <c r="Z254" s="61" t="str">
        <f aca="false">IF($M254="","",IFERROR($Y254-$E254,"Error"))</f>
        <v/>
      </c>
      <c r="AA254" s="60" t="str">
        <f aca="false">IF($M254="","",IFERROR($Z254/($M254+$T254),"Error"))</f>
        <v/>
      </c>
      <c r="AB254" s="62" t="str">
        <f aca="false">IF($M254="","",IFERROR($M254/$E254,"Error"))</f>
        <v/>
      </c>
      <c r="AD254" s="59"/>
      <c r="AE254" s="57"/>
      <c r="AF254" s="58"/>
      <c r="AG254" s="60" t="str">
        <f aca="false">IF(N($AD254)=0,"",IFERROR(($AD254/(1+$L254)-($AD254*$O254+IF($AD254&lt;=15000,1000,IF($AD254&lt;=25000,2000,IF($AD254&lt;=33000,2400,0)))+N($N254))/(1+Datos!$B$2)-$AD254*Datos!$C$2-$C254)/($AD254/(1+$L254)),"Error"))</f>
        <v/>
      </c>
      <c r="AH254" s="61" t="str">
        <f aca="false">IF(N($AD254)=0,"",IFERROR($AD254/(1+$L254)*(1-$AF254)-($AD254*$O254+IF($AD254&lt;=15000,1000,IF($AD254&lt;=25000,2000,IF($AD254&lt;=33000,2400,0)))+N($N254))/(1+Datos!$B$2)-$AD254*Datos!$C$2,"Error"))</f>
        <v/>
      </c>
      <c r="AI254" s="61" t="str">
        <f aca="false">IF($AH254="","",IFERROR($AH254*(1+$D254),"Error"))</f>
        <v/>
      </c>
      <c r="AJ254" s="60" t="str">
        <f aca="false">IF($AH254="","",IFERROR($C254/$AH254-1,"Error"))</f>
        <v/>
      </c>
      <c r="AK254" s="63" t="str">
        <f aca="false">IF($AH254="","",IFERROR(IF($C254&lt;=$AH254,"OK a ese precio","Bajar costo"),"Error"))</f>
        <v/>
      </c>
    </row>
    <row r="255" customFormat="false" ht="15" hidden="false" customHeight="false" outlineLevel="0" collapsed="false">
      <c r="E255" s="0" t="str">
        <f aca="false">IF($C255="","",$C255*(1+$D255))</f>
        <v/>
      </c>
      <c r="J255" s="57"/>
      <c r="K255" s="57"/>
      <c r="L255" s="58"/>
      <c r="M255" s="59"/>
      <c r="N255" s="59"/>
      <c r="O255" s="60" t="str">
        <f aca="false">IF($M255="","",IFERROR(IF($K255="Clásica",VLOOKUP("Argentina"&amp;$J255,Datos!$C:$D,2,0),VLOOKUP("Argentina"&amp;$J255,Datos!$C:$D,2,0)+VLOOKUP("Argentina"&amp;$K255,Datos!$H:$I,2,0)),"Error"))</f>
        <v/>
      </c>
      <c r="P255" s="61" t="str">
        <f aca="false">IF($M255="","",IFERROR(-$M255*$O255,"Error"))</f>
        <v/>
      </c>
      <c r="Q255" s="61" t="str">
        <f aca="false">IF($M255="","",IFERROR(-($P255-$P255/(1+Datos!$B$2)),"Error"))</f>
        <v/>
      </c>
      <c r="R255" s="61" t="str">
        <f aca="false">IF($M255="","",IF($M255&lt;=15000,-1000,IF($M255&lt;=25000,-2000,IF($M255&lt;=33000,-2400,0))))</f>
        <v/>
      </c>
      <c r="S255" s="61" t="str">
        <f aca="false">IF($M255="","",-($R255-$R255/(1+Datos!$B$2)))</f>
        <v/>
      </c>
      <c r="T255" s="61" t="str">
        <f aca="false">IF($M255="","",-$M255/(1+$L255)*$L255)</f>
        <v/>
      </c>
      <c r="U255" s="61" t="str">
        <f aca="false">IF($M255="","",$C255*$D255)</f>
        <v/>
      </c>
      <c r="V255" s="61" t="str">
        <f aca="false">IF($M255="","",-N($N255))</f>
        <v/>
      </c>
      <c r="W255" s="61" t="str">
        <f aca="false">IF($M255="","",-($V255-$V255/(1+Datos!$B$2)))</f>
        <v/>
      </c>
      <c r="X255" s="61" t="str">
        <f aca="false">IF($M255="","",-$M255*Datos!$C$2)</f>
        <v/>
      </c>
      <c r="Y255" s="61" t="str">
        <f aca="false">IF($M255="","",IFERROR($M255+$U255+$T255+$P255+$Q255+$R255+$S255+$V255+$W255+$X255,"Error"))</f>
        <v/>
      </c>
      <c r="Z255" s="61" t="str">
        <f aca="false">IF($M255="","",IFERROR($Y255-$E255,"Error"))</f>
        <v/>
      </c>
      <c r="AA255" s="60" t="str">
        <f aca="false">IF($M255="","",IFERROR($Z255/($M255+$T255),"Error"))</f>
        <v/>
      </c>
      <c r="AB255" s="62" t="str">
        <f aca="false">IF($M255="","",IFERROR($M255/$E255,"Error"))</f>
        <v/>
      </c>
      <c r="AD255" s="59"/>
      <c r="AE255" s="57"/>
      <c r="AF255" s="58"/>
      <c r="AG255" s="60" t="str">
        <f aca="false">IF(N($AD255)=0,"",IFERROR(($AD255/(1+$L255)-($AD255*$O255+IF($AD255&lt;=15000,1000,IF($AD255&lt;=25000,2000,IF($AD255&lt;=33000,2400,0)))+N($N255))/(1+Datos!$B$2)-$AD255*Datos!$C$2-$C255)/($AD255/(1+$L255)),"Error"))</f>
        <v/>
      </c>
      <c r="AH255" s="61" t="str">
        <f aca="false">IF(N($AD255)=0,"",IFERROR($AD255/(1+$L255)*(1-$AF255)-($AD255*$O255+IF($AD255&lt;=15000,1000,IF($AD255&lt;=25000,2000,IF($AD255&lt;=33000,2400,0)))+N($N255))/(1+Datos!$B$2)-$AD255*Datos!$C$2,"Error"))</f>
        <v/>
      </c>
      <c r="AI255" s="61" t="str">
        <f aca="false">IF($AH255="","",IFERROR($AH255*(1+$D255),"Error"))</f>
        <v/>
      </c>
      <c r="AJ255" s="60" t="str">
        <f aca="false">IF($AH255="","",IFERROR($C255/$AH255-1,"Error"))</f>
        <v/>
      </c>
      <c r="AK255" s="63" t="str">
        <f aca="false">IF($AH255="","",IFERROR(IF($C255&lt;=$AH255,"OK a ese precio","Bajar costo"),"Error"))</f>
        <v/>
      </c>
    </row>
    <row r="256" customFormat="false" ht="15" hidden="false" customHeight="false" outlineLevel="0" collapsed="false">
      <c r="E256" s="0" t="str">
        <f aca="false">IF($C256="","",$C256*(1+$D256))</f>
        <v/>
      </c>
      <c r="J256" s="57"/>
      <c r="K256" s="57"/>
      <c r="L256" s="58"/>
      <c r="M256" s="59"/>
      <c r="N256" s="59"/>
      <c r="O256" s="60" t="str">
        <f aca="false">IF($M256="","",IFERROR(IF($K256="Clásica",VLOOKUP("Argentina"&amp;$J256,Datos!$C:$D,2,0),VLOOKUP("Argentina"&amp;$J256,Datos!$C:$D,2,0)+VLOOKUP("Argentina"&amp;$K256,Datos!$H:$I,2,0)),"Error"))</f>
        <v/>
      </c>
      <c r="P256" s="61" t="str">
        <f aca="false">IF($M256="","",IFERROR(-$M256*$O256,"Error"))</f>
        <v/>
      </c>
      <c r="Q256" s="61" t="str">
        <f aca="false">IF($M256="","",IFERROR(-($P256-$P256/(1+Datos!$B$2)),"Error"))</f>
        <v/>
      </c>
      <c r="R256" s="61" t="str">
        <f aca="false">IF($M256="","",IF($M256&lt;=15000,-1000,IF($M256&lt;=25000,-2000,IF($M256&lt;=33000,-2400,0))))</f>
        <v/>
      </c>
      <c r="S256" s="61" t="str">
        <f aca="false">IF($M256="","",-($R256-$R256/(1+Datos!$B$2)))</f>
        <v/>
      </c>
      <c r="T256" s="61" t="str">
        <f aca="false">IF($M256="","",-$M256/(1+$L256)*$L256)</f>
        <v/>
      </c>
      <c r="U256" s="61" t="str">
        <f aca="false">IF($M256="","",$C256*$D256)</f>
        <v/>
      </c>
      <c r="V256" s="61" t="str">
        <f aca="false">IF($M256="","",-N($N256))</f>
        <v/>
      </c>
      <c r="W256" s="61" t="str">
        <f aca="false">IF($M256="","",-($V256-$V256/(1+Datos!$B$2)))</f>
        <v/>
      </c>
      <c r="X256" s="61" t="str">
        <f aca="false">IF($M256="","",-$M256*Datos!$C$2)</f>
        <v/>
      </c>
      <c r="Y256" s="61" t="str">
        <f aca="false">IF($M256="","",IFERROR($M256+$U256+$T256+$P256+$Q256+$R256+$S256+$V256+$W256+$X256,"Error"))</f>
        <v/>
      </c>
      <c r="Z256" s="61" t="str">
        <f aca="false">IF($M256="","",IFERROR($Y256-$E256,"Error"))</f>
        <v/>
      </c>
      <c r="AA256" s="60" t="str">
        <f aca="false">IF($M256="","",IFERROR($Z256/($M256+$T256),"Error"))</f>
        <v/>
      </c>
      <c r="AB256" s="62" t="str">
        <f aca="false">IF($M256="","",IFERROR($M256/$E256,"Error"))</f>
        <v/>
      </c>
      <c r="AD256" s="59"/>
      <c r="AE256" s="57"/>
      <c r="AF256" s="58"/>
      <c r="AG256" s="60" t="str">
        <f aca="false">IF(N($AD256)=0,"",IFERROR(($AD256/(1+$L256)-($AD256*$O256+IF($AD256&lt;=15000,1000,IF($AD256&lt;=25000,2000,IF($AD256&lt;=33000,2400,0)))+N($N256))/(1+Datos!$B$2)-$AD256*Datos!$C$2-$C256)/($AD256/(1+$L256)),"Error"))</f>
        <v/>
      </c>
      <c r="AH256" s="61" t="str">
        <f aca="false">IF(N($AD256)=0,"",IFERROR($AD256/(1+$L256)*(1-$AF256)-($AD256*$O256+IF($AD256&lt;=15000,1000,IF($AD256&lt;=25000,2000,IF($AD256&lt;=33000,2400,0)))+N($N256))/(1+Datos!$B$2)-$AD256*Datos!$C$2,"Error"))</f>
        <v/>
      </c>
      <c r="AI256" s="61" t="str">
        <f aca="false">IF($AH256="","",IFERROR($AH256*(1+$D256),"Error"))</f>
        <v/>
      </c>
      <c r="AJ256" s="60" t="str">
        <f aca="false">IF($AH256="","",IFERROR($C256/$AH256-1,"Error"))</f>
        <v/>
      </c>
      <c r="AK256" s="63" t="str">
        <f aca="false">IF($AH256="","",IFERROR(IF($C256&lt;=$AH256,"OK a ese precio","Bajar costo"),"Error"))</f>
        <v/>
      </c>
    </row>
    <row r="257" customFormat="false" ht="15" hidden="false" customHeight="false" outlineLevel="0" collapsed="false">
      <c r="E257" s="0" t="str">
        <f aca="false">IF($C257="","",$C257*(1+$D257))</f>
        <v/>
      </c>
      <c r="J257" s="57"/>
      <c r="K257" s="57"/>
      <c r="L257" s="58"/>
      <c r="M257" s="59"/>
      <c r="N257" s="59"/>
      <c r="O257" s="60" t="str">
        <f aca="false">IF($M257="","",IFERROR(IF($K257="Clásica",VLOOKUP("Argentina"&amp;$J257,Datos!$C:$D,2,0),VLOOKUP("Argentina"&amp;$J257,Datos!$C:$D,2,0)+VLOOKUP("Argentina"&amp;$K257,Datos!$H:$I,2,0)),"Error"))</f>
        <v/>
      </c>
      <c r="P257" s="61" t="str">
        <f aca="false">IF($M257="","",IFERROR(-$M257*$O257,"Error"))</f>
        <v/>
      </c>
      <c r="Q257" s="61" t="str">
        <f aca="false">IF($M257="","",IFERROR(-($P257-$P257/(1+Datos!$B$2)),"Error"))</f>
        <v/>
      </c>
      <c r="R257" s="61" t="str">
        <f aca="false">IF($M257="","",IF($M257&lt;=15000,-1000,IF($M257&lt;=25000,-2000,IF($M257&lt;=33000,-2400,0))))</f>
        <v/>
      </c>
      <c r="S257" s="61" t="str">
        <f aca="false">IF($M257="","",-($R257-$R257/(1+Datos!$B$2)))</f>
        <v/>
      </c>
      <c r="T257" s="61" t="str">
        <f aca="false">IF($M257="","",-$M257/(1+$L257)*$L257)</f>
        <v/>
      </c>
      <c r="U257" s="61" t="str">
        <f aca="false">IF($M257="","",$C257*$D257)</f>
        <v/>
      </c>
      <c r="V257" s="61" t="str">
        <f aca="false">IF($M257="","",-N($N257))</f>
        <v/>
      </c>
      <c r="W257" s="61" t="str">
        <f aca="false">IF($M257="","",-($V257-$V257/(1+Datos!$B$2)))</f>
        <v/>
      </c>
      <c r="X257" s="61" t="str">
        <f aca="false">IF($M257="","",-$M257*Datos!$C$2)</f>
        <v/>
      </c>
      <c r="Y257" s="61" t="str">
        <f aca="false">IF($M257="","",IFERROR($M257+$U257+$T257+$P257+$Q257+$R257+$S257+$V257+$W257+$X257,"Error"))</f>
        <v/>
      </c>
      <c r="Z257" s="61" t="str">
        <f aca="false">IF($M257="","",IFERROR($Y257-$E257,"Error"))</f>
        <v/>
      </c>
      <c r="AA257" s="60" t="str">
        <f aca="false">IF($M257="","",IFERROR($Z257/($M257+$T257),"Error"))</f>
        <v/>
      </c>
      <c r="AB257" s="62" t="str">
        <f aca="false">IF($M257="","",IFERROR($M257/$E257,"Error"))</f>
        <v/>
      </c>
      <c r="AD257" s="59"/>
      <c r="AE257" s="57"/>
      <c r="AF257" s="58"/>
      <c r="AG257" s="60" t="str">
        <f aca="false">IF(N($AD257)=0,"",IFERROR(($AD257/(1+$L257)-($AD257*$O257+IF($AD257&lt;=15000,1000,IF($AD257&lt;=25000,2000,IF($AD257&lt;=33000,2400,0)))+N($N257))/(1+Datos!$B$2)-$AD257*Datos!$C$2-$C257)/($AD257/(1+$L257)),"Error"))</f>
        <v/>
      </c>
      <c r="AH257" s="61" t="str">
        <f aca="false">IF(N($AD257)=0,"",IFERROR($AD257/(1+$L257)*(1-$AF257)-($AD257*$O257+IF($AD257&lt;=15000,1000,IF($AD257&lt;=25000,2000,IF($AD257&lt;=33000,2400,0)))+N($N257))/(1+Datos!$B$2)-$AD257*Datos!$C$2,"Error"))</f>
        <v/>
      </c>
      <c r="AI257" s="61" t="str">
        <f aca="false">IF($AH257="","",IFERROR($AH257*(1+$D257),"Error"))</f>
        <v/>
      </c>
      <c r="AJ257" s="60" t="str">
        <f aca="false">IF($AH257="","",IFERROR($C257/$AH257-1,"Error"))</f>
        <v/>
      </c>
      <c r="AK257" s="63" t="str">
        <f aca="false">IF($AH257="","",IFERROR(IF($C257&lt;=$AH257,"OK a ese precio","Bajar costo"),"Error"))</f>
        <v/>
      </c>
    </row>
    <row r="258" customFormat="false" ht="15" hidden="false" customHeight="false" outlineLevel="0" collapsed="false">
      <c r="E258" s="0" t="str">
        <f aca="false">IF($C258="","",$C258*(1+$D258))</f>
        <v/>
      </c>
      <c r="J258" s="57"/>
      <c r="K258" s="57"/>
      <c r="L258" s="58"/>
      <c r="M258" s="59"/>
      <c r="N258" s="59"/>
      <c r="O258" s="60" t="str">
        <f aca="false">IF($M258="","",IFERROR(IF($K258="Clásica",VLOOKUP("Argentina"&amp;$J258,Datos!$C:$D,2,0),VLOOKUP("Argentina"&amp;$J258,Datos!$C:$D,2,0)+VLOOKUP("Argentina"&amp;$K258,Datos!$H:$I,2,0)),"Error"))</f>
        <v/>
      </c>
      <c r="P258" s="61" t="str">
        <f aca="false">IF($M258="","",IFERROR(-$M258*$O258,"Error"))</f>
        <v/>
      </c>
      <c r="Q258" s="61" t="str">
        <f aca="false">IF($M258="","",IFERROR(-($P258-$P258/(1+Datos!$B$2)),"Error"))</f>
        <v/>
      </c>
      <c r="R258" s="61" t="str">
        <f aca="false">IF($M258="","",IF($M258&lt;=15000,-1000,IF($M258&lt;=25000,-2000,IF($M258&lt;=33000,-2400,0))))</f>
        <v/>
      </c>
      <c r="S258" s="61" t="str">
        <f aca="false">IF($M258="","",-($R258-$R258/(1+Datos!$B$2)))</f>
        <v/>
      </c>
      <c r="T258" s="61" t="str">
        <f aca="false">IF($M258="","",-$M258/(1+$L258)*$L258)</f>
        <v/>
      </c>
      <c r="U258" s="61" t="str">
        <f aca="false">IF($M258="","",$C258*$D258)</f>
        <v/>
      </c>
      <c r="V258" s="61" t="str">
        <f aca="false">IF($M258="","",-N($N258))</f>
        <v/>
      </c>
      <c r="W258" s="61" t="str">
        <f aca="false">IF($M258="","",-($V258-$V258/(1+Datos!$B$2)))</f>
        <v/>
      </c>
      <c r="X258" s="61" t="str">
        <f aca="false">IF($M258="","",-$M258*Datos!$C$2)</f>
        <v/>
      </c>
      <c r="Y258" s="61" t="str">
        <f aca="false">IF($M258="","",IFERROR($M258+$U258+$T258+$P258+$Q258+$R258+$S258+$V258+$W258+$X258,"Error"))</f>
        <v/>
      </c>
      <c r="Z258" s="61" t="str">
        <f aca="false">IF($M258="","",IFERROR($Y258-$E258,"Error"))</f>
        <v/>
      </c>
      <c r="AA258" s="60" t="str">
        <f aca="false">IF($M258="","",IFERROR($Z258/($M258+$T258),"Error"))</f>
        <v/>
      </c>
      <c r="AB258" s="62" t="str">
        <f aca="false">IF($M258="","",IFERROR($M258/$E258,"Error"))</f>
        <v/>
      </c>
      <c r="AD258" s="59"/>
      <c r="AE258" s="57"/>
      <c r="AF258" s="58"/>
      <c r="AG258" s="60" t="str">
        <f aca="false">IF(N($AD258)=0,"",IFERROR(($AD258/(1+$L258)-($AD258*$O258+IF($AD258&lt;=15000,1000,IF($AD258&lt;=25000,2000,IF($AD258&lt;=33000,2400,0)))+N($N258))/(1+Datos!$B$2)-$AD258*Datos!$C$2-$C258)/($AD258/(1+$L258)),"Error"))</f>
        <v/>
      </c>
      <c r="AH258" s="61" t="str">
        <f aca="false">IF(N($AD258)=0,"",IFERROR($AD258/(1+$L258)*(1-$AF258)-($AD258*$O258+IF($AD258&lt;=15000,1000,IF($AD258&lt;=25000,2000,IF($AD258&lt;=33000,2400,0)))+N($N258))/(1+Datos!$B$2)-$AD258*Datos!$C$2,"Error"))</f>
        <v/>
      </c>
      <c r="AI258" s="61" t="str">
        <f aca="false">IF($AH258="","",IFERROR($AH258*(1+$D258),"Error"))</f>
        <v/>
      </c>
      <c r="AJ258" s="60" t="str">
        <f aca="false">IF($AH258="","",IFERROR($C258/$AH258-1,"Error"))</f>
        <v/>
      </c>
      <c r="AK258" s="63" t="str">
        <f aca="false">IF($AH258="","",IFERROR(IF($C258&lt;=$AH258,"OK a ese precio","Bajar costo"),"Error"))</f>
        <v/>
      </c>
    </row>
    <row r="259" customFormat="false" ht="15" hidden="false" customHeight="false" outlineLevel="0" collapsed="false">
      <c r="E259" s="0" t="str">
        <f aca="false">IF($C259="","",$C259*(1+$D259))</f>
        <v/>
      </c>
      <c r="J259" s="57"/>
      <c r="K259" s="57"/>
      <c r="L259" s="58"/>
      <c r="M259" s="59"/>
      <c r="N259" s="59"/>
      <c r="O259" s="60" t="str">
        <f aca="false">IF($M259="","",IFERROR(IF($K259="Clásica",VLOOKUP("Argentina"&amp;$J259,Datos!$C:$D,2,0),VLOOKUP("Argentina"&amp;$J259,Datos!$C:$D,2,0)+VLOOKUP("Argentina"&amp;$K259,Datos!$H:$I,2,0)),"Error"))</f>
        <v/>
      </c>
      <c r="P259" s="61" t="str">
        <f aca="false">IF($M259="","",IFERROR(-$M259*$O259,"Error"))</f>
        <v/>
      </c>
      <c r="Q259" s="61" t="str">
        <f aca="false">IF($M259="","",IFERROR(-($P259-$P259/(1+Datos!$B$2)),"Error"))</f>
        <v/>
      </c>
      <c r="R259" s="61" t="str">
        <f aca="false">IF($M259="","",IF($M259&lt;=15000,-1000,IF($M259&lt;=25000,-2000,IF($M259&lt;=33000,-2400,0))))</f>
        <v/>
      </c>
      <c r="S259" s="61" t="str">
        <f aca="false">IF($M259="","",-($R259-$R259/(1+Datos!$B$2)))</f>
        <v/>
      </c>
      <c r="T259" s="61" t="str">
        <f aca="false">IF($M259="","",-$M259/(1+$L259)*$L259)</f>
        <v/>
      </c>
      <c r="U259" s="61" t="str">
        <f aca="false">IF($M259="","",$C259*$D259)</f>
        <v/>
      </c>
      <c r="V259" s="61" t="str">
        <f aca="false">IF($M259="","",-N($N259))</f>
        <v/>
      </c>
      <c r="W259" s="61" t="str">
        <f aca="false">IF($M259="","",-($V259-$V259/(1+Datos!$B$2)))</f>
        <v/>
      </c>
      <c r="X259" s="61" t="str">
        <f aca="false">IF($M259="","",-$M259*Datos!$C$2)</f>
        <v/>
      </c>
      <c r="Y259" s="61" t="str">
        <f aca="false">IF($M259="","",IFERROR($M259+$U259+$T259+$P259+$Q259+$R259+$S259+$V259+$W259+$X259,"Error"))</f>
        <v/>
      </c>
      <c r="Z259" s="61" t="str">
        <f aca="false">IF($M259="","",IFERROR($Y259-$E259,"Error"))</f>
        <v/>
      </c>
      <c r="AA259" s="60" t="str">
        <f aca="false">IF($M259="","",IFERROR($Z259/($M259+$T259),"Error"))</f>
        <v/>
      </c>
      <c r="AB259" s="62" t="str">
        <f aca="false">IF($M259="","",IFERROR($M259/$E259,"Error"))</f>
        <v/>
      </c>
      <c r="AD259" s="59"/>
      <c r="AE259" s="57"/>
      <c r="AF259" s="58"/>
      <c r="AG259" s="60" t="str">
        <f aca="false">IF(N($AD259)=0,"",IFERROR(($AD259/(1+$L259)-($AD259*$O259+IF($AD259&lt;=15000,1000,IF($AD259&lt;=25000,2000,IF($AD259&lt;=33000,2400,0)))+N($N259))/(1+Datos!$B$2)-$AD259*Datos!$C$2-$C259)/($AD259/(1+$L259)),"Error"))</f>
        <v/>
      </c>
      <c r="AH259" s="61" t="str">
        <f aca="false">IF(N($AD259)=0,"",IFERROR($AD259/(1+$L259)*(1-$AF259)-($AD259*$O259+IF($AD259&lt;=15000,1000,IF($AD259&lt;=25000,2000,IF($AD259&lt;=33000,2400,0)))+N($N259))/(1+Datos!$B$2)-$AD259*Datos!$C$2,"Error"))</f>
        <v/>
      </c>
      <c r="AI259" s="61" t="str">
        <f aca="false">IF($AH259="","",IFERROR($AH259*(1+$D259),"Error"))</f>
        <v/>
      </c>
      <c r="AJ259" s="60" t="str">
        <f aca="false">IF($AH259="","",IFERROR($C259/$AH259-1,"Error"))</f>
        <v/>
      </c>
      <c r="AK259" s="63" t="str">
        <f aca="false">IF($AH259="","",IFERROR(IF($C259&lt;=$AH259,"OK a ese precio","Bajar costo"),"Error"))</f>
        <v/>
      </c>
    </row>
    <row r="260" customFormat="false" ht="15" hidden="false" customHeight="false" outlineLevel="0" collapsed="false">
      <c r="E260" s="0" t="str">
        <f aca="false">IF($C260="","",$C260*(1+$D260))</f>
        <v/>
      </c>
      <c r="J260" s="57"/>
      <c r="K260" s="57"/>
      <c r="L260" s="58"/>
      <c r="M260" s="59"/>
      <c r="N260" s="59"/>
      <c r="O260" s="60" t="str">
        <f aca="false">IF($M260="","",IFERROR(IF($K260="Clásica",VLOOKUP("Argentina"&amp;$J260,Datos!$C:$D,2,0),VLOOKUP("Argentina"&amp;$J260,Datos!$C:$D,2,0)+VLOOKUP("Argentina"&amp;$K260,Datos!$H:$I,2,0)),"Error"))</f>
        <v/>
      </c>
      <c r="P260" s="61" t="str">
        <f aca="false">IF($M260="","",IFERROR(-$M260*$O260,"Error"))</f>
        <v/>
      </c>
      <c r="Q260" s="61" t="str">
        <f aca="false">IF($M260="","",IFERROR(-($P260-$P260/(1+Datos!$B$2)),"Error"))</f>
        <v/>
      </c>
      <c r="R260" s="61" t="str">
        <f aca="false">IF($M260="","",IF($M260&lt;=15000,-1000,IF($M260&lt;=25000,-2000,IF($M260&lt;=33000,-2400,0))))</f>
        <v/>
      </c>
      <c r="S260" s="61" t="str">
        <f aca="false">IF($M260="","",-($R260-$R260/(1+Datos!$B$2)))</f>
        <v/>
      </c>
      <c r="T260" s="61" t="str">
        <f aca="false">IF($M260="","",-$M260/(1+$L260)*$L260)</f>
        <v/>
      </c>
      <c r="U260" s="61" t="str">
        <f aca="false">IF($M260="","",$C260*$D260)</f>
        <v/>
      </c>
      <c r="V260" s="61" t="str">
        <f aca="false">IF($M260="","",-N($N260))</f>
        <v/>
      </c>
      <c r="W260" s="61" t="str">
        <f aca="false">IF($M260="","",-($V260-$V260/(1+Datos!$B$2)))</f>
        <v/>
      </c>
      <c r="X260" s="61" t="str">
        <f aca="false">IF($M260="","",-$M260*Datos!$C$2)</f>
        <v/>
      </c>
      <c r="Y260" s="61" t="str">
        <f aca="false">IF($M260="","",IFERROR($M260+$U260+$T260+$P260+$Q260+$R260+$S260+$V260+$W260+$X260,"Error"))</f>
        <v/>
      </c>
      <c r="Z260" s="61" t="str">
        <f aca="false">IF($M260="","",IFERROR($Y260-$E260,"Error"))</f>
        <v/>
      </c>
      <c r="AA260" s="60" t="str">
        <f aca="false">IF($M260="","",IFERROR($Z260/($M260+$T260),"Error"))</f>
        <v/>
      </c>
      <c r="AB260" s="62" t="str">
        <f aca="false">IF($M260="","",IFERROR($M260/$E260,"Error"))</f>
        <v/>
      </c>
      <c r="AD260" s="59"/>
      <c r="AE260" s="57"/>
      <c r="AF260" s="58"/>
      <c r="AG260" s="60" t="str">
        <f aca="false">IF(N($AD260)=0,"",IFERROR(($AD260/(1+$L260)-($AD260*$O260+IF($AD260&lt;=15000,1000,IF($AD260&lt;=25000,2000,IF($AD260&lt;=33000,2400,0)))+N($N260))/(1+Datos!$B$2)-$AD260*Datos!$C$2-$C260)/($AD260/(1+$L260)),"Error"))</f>
        <v/>
      </c>
      <c r="AH260" s="61" t="str">
        <f aca="false">IF(N($AD260)=0,"",IFERROR($AD260/(1+$L260)*(1-$AF260)-($AD260*$O260+IF($AD260&lt;=15000,1000,IF($AD260&lt;=25000,2000,IF($AD260&lt;=33000,2400,0)))+N($N260))/(1+Datos!$B$2)-$AD260*Datos!$C$2,"Error"))</f>
        <v/>
      </c>
      <c r="AI260" s="61" t="str">
        <f aca="false">IF($AH260="","",IFERROR($AH260*(1+$D260),"Error"))</f>
        <v/>
      </c>
      <c r="AJ260" s="60" t="str">
        <f aca="false">IF($AH260="","",IFERROR($C260/$AH260-1,"Error"))</f>
        <v/>
      </c>
      <c r="AK260" s="63" t="str">
        <f aca="false">IF($AH260="","",IFERROR(IF($C260&lt;=$AH260,"OK a ese precio","Bajar costo"),"Error"))</f>
        <v/>
      </c>
    </row>
    <row r="261" customFormat="false" ht="15" hidden="false" customHeight="false" outlineLevel="0" collapsed="false">
      <c r="E261" s="0" t="str">
        <f aca="false">IF($C261="","",$C261*(1+$D261))</f>
        <v/>
      </c>
      <c r="J261" s="57"/>
      <c r="K261" s="57"/>
      <c r="L261" s="58"/>
      <c r="M261" s="59"/>
      <c r="N261" s="59"/>
      <c r="O261" s="60" t="str">
        <f aca="false">IF($M261="","",IFERROR(IF($K261="Clásica",VLOOKUP("Argentina"&amp;$J261,Datos!$C:$D,2,0),VLOOKUP("Argentina"&amp;$J261,Datos!$C:$D,2,0)+VLOOKUP("Argentina"&amp;$K261,Datos!$H:$I,2,0)),"Error"))</f>
        <v/>
      </c>
      <c r="P261" s="61" t="str">
        <f aca="false">IF($M261="","",IFERROR(-$M261*$O261,"Error"))</f>
        <v/>
      </c>
      <c r="Q261" s="61" t="str">
        <f aca="false">IF($M261="","",IFERROR(-($P261-$P261/(1+Datos!$B$2)),"Error"))</f>
        <v/>
      </c>
      <c r="R261" s="61" t="str">
        <f aca="false">IF($M261="","",IF($M261&lt;=15000,-1000,IF($M261&lt;=25000,-2000,IF($M261&lt;=33000,-2400,0))))</f>
        <v/>
      </c>
      <c r="S261" s="61" t="str">
        <f aca="false">IF($M261="","",-($R261-$R261/(1+Datos!$B$2)))</f>
        <v/>
      </c>
      <c r="T261" s="61" t="str">
        <f aca="false">IF($M261="","",-$M261/(1+$L261)*$L261)</f>
        <v/>
      </c>
      <c r="U261" s="61" t="str">
        <f aca="false">IF($M261="","",$C261*$D261)</f>
        <v/>
      </c>
      <c r="V261" s="61" t="str">
        <f aca="false">IF($M261="","",-N($N261))</f>
        <v/>
      </c>
      <c r="W261" s="61" t="str">
        <f aca="false">IF($M261="","",-($V261-$V261/(1+Datos!$B$2)))</f>
        <v/>
      </c>
      <c r="X261" s="61" t="str">
        <f aca="false">IF($M261="","",-$M261*Datos!$C$2)</f>
        <v/>
      </c>
      <c r="Y261" s="61" t="str">
        <f aca="false">IF($M261="","",IFERROR($M261+$U261+$T261+$P261+$Q261+$R261+$S261+$V261+$W261+$X261,"Error"))</f>
        <v/>
      </c>
      <c r="Z261" s="61" t="str">
        <f aca="false">IF($M261="","",IFERROR($Y261-$E261,"Error"))</f>
        <v/>
      </c>
      <c r="AA261" s="60" t="str">
        <f aca="false">IF($M261="","",IFERROR($Z261/($M261+$T261),"Error"))</f>
        <v/>
      </c>
      <c r="AB261" s="62" t="str">
        <f aca="false">IF($M261="","",IFERROR($M261/$E261,"Error"))</f>
        <v/>
      </c>
      <c r="AD261" s="59"/>
      <c r="AE261" s="57"/>
      <c r="AF261" s="58"/>
      <c r="AG261" s="60" t="str">
        <f aca="false">IF(N($AD261)=0,"",IFERROR(($AD261/(1+$L261)-($AD261*$O261+IF($AD261&lt;=15000,1000,IF($AD261&lt;=25000,2000,IF($AD261&lt;=33000,2400,0)))+N($N261))/(1+Datos!$B$2)-$AD261*Datos!$C$2-$C261)/($AD261/(1+$L261)),"Error"))</f>
        <v/>
      </c>
      <c r="AH261" s="61" t="str">
        <f aca="false">IF(N($AD261)=0,"",IFERROR($AD261/(1+$L261)*(1-$AF261)-($AD261*$O261+IF($AD261&lt;=15000,1000,IF($AD261&lt;=25000,2000,IF($AD261&lt;=33000,2400,0)))+N($N261))/(1+Datos!$B$2)-$AD261*Datos!$C$2,"Error"))</f>
        <v/>
      </c>
      <c r="AI261" s="61" t="str">
        <f aca="false">IF($AH261="","",IFERROR($AH261*(1+$D261),"Error"))</f>
        <v/>
      </c>
      <c r="AJ261" s="60" t="str">
        <f aca="false">IF($AH261="","",IFERROR($C261/$AH261-1,"Error"))</f>
        <v/>
      </c>
      <c r="AK261" s="63" t="str">
        <f aca="false">IF($AH261="","",IFERROR(IF($C261&lt;=$AH261,"OK a ese precio","Bajar costo"),"Error"))</f>
        <v/>
      </c>
    </row>
    <row r="262" customFormat="false" ht="15" hidden="false" customHeight="false" outlineLevel="0" collapsed="false">
      <c r="E262" s="0" t="str">
        <f aca="false">IF($C262="","",$C262*(1+$D262))</f>
        <v/>
      </c>
      <c r="J262" s="57"/>
      <c r="K262" s="57"/>
      <c r="L262" s="58"/>
      <c r="M262" s="59"/>
      <c r="N262" s="59"/>
      <c r="O262" s="60" t="str">
        <f aca="false">IF($M262="","",IFERROR(IF($K262="Clásica",VLOOKUP("Argentina"&amp;$J262,Datos!$C:$D,2,0),VLOOKUP("Argentina"&amp;$J262,Datos!$C:$D,2,0)+VLOOKUP("Argentina"&amp;$K262,Datos!$H:$I,2,0)),"Error"))</f>
        <v/>
      </c>
      <c r="P262" s="61" t="str">
        <f aca="false">IF($M262="","",IFERROR(-$M262*$O262,"Error"))</f>
        <v/>
      </c>
      <c r="Q262" s="61" t="str">
        <f aca="false">IF($M262="","",IFERROR(-($P262-$P262/(1+Datos!$B$2)),"Error"))</f>
        <v/>
      </c>
      <c r="R262" s="61" t="str">
        <f aca="false">IF($M262="","",IF($M262&lt;=15000,-1000,IF($M262&lt;=25000,-2000,IF($M262&lt;=33000,-2400,0))))</f>
        <v/>
      </c>
      <c r="S262" s="61" t="str">
        <f aca="false">IF($M262="","",-($R262-$R262/(1+Datos!$B$2)))</f>
        <v/>
      </c>
      <c r="T262" s="61" t="str">
        <f aca="false">IF($M262="","",-$M262/(1+$L262)*$L262)</f>
        <v/>
      </c>
      <c r="U262" s="61" t="str">
        <f aca="false">IF($M262="","",$C262*$D262)</f>
        <v/>
      </c>
      <c r="V262" s="61" t="str">
        <f aca="false">IF($M262="","",-N($N262))</f>
        <v/>
      </c>
      <c r="W262" s="61" t="str">
        <f aca="false">IF($M262="","",-($V262-$V262/(1+Datos!$B$2)))</f>
        <v/>
      </c>
      <c r="X262" s="61" t="str">
        <f aca="false">IF($M262="","",-$M262*Datos!$C$2)</f>
        <v/>
      </c>
      <c r="Y262" s="61" t="str">
        <f aca="false">IF($M262="","",IFERROR($M262+$U262+$T262+$P262+$Q262+$R262+$S262+$V262+$W262+$X262,"Error"))</f>
        <v/>
      </c>
      <c r="Z262" s="61" t="str">
        <f aca="false">IF($M262="","",IFERROR($Y262-$E262,"Error"))</f>
        <v/>
      </c>
      <c r="AA262" s="60" t="str">
        <f aca="false">IF($M262="","",IFERROR($Z262/($M262+$T262),"Error"))</f>
        <v/>
      </c>
      <c r="AB262" s="62" t="str">
        <f aca="false">IF($M262="","",IFERROR($M262/$E262,"Error"))</f>
        <v/>
      </c>
      <c r="AD262" s="59"/>
      <c r="AE262" s="57"/>
      <c r="AF262" s="58"/>
      <c r="AG262" s="60" t="str">
        <f aca="false">IF(N($AD262)=0,"",IFERROR(($AD262/(1+$L262)-($AD262*$O262+IF($AD262&lt;=15000,1000,IF($AD262&lt;=25000,2000,IF($AD262&lt;=33000,2400,0)))+N($N262))/(1+Datos!$B$2)-$AD262*Datos!$C$2-$C262)/($AD262/(1+$L262)),"Error"))</f>
        <v/>
      </c>
      <c r="AH262" s="61" t="str">
        <f aca="false">IF(N($AD262)=0,"",IFERROR($AD262/(1+$L262)*(1-$AF262)-($AD262*$O262+IF($AD262&lt;=15000,1000,IF($AD262&lt;=25000,2000,IF($AD262&lt;=33000,2400,0)))+N($N262))/(1+Datos!$B$2)-$AD262*Datos!$C$2,"Error"))</f>
        <v/>
      </c>
      <c r="AI262" s="61" t="str">
        <f aca="false">IF($AH262="","",IFERROR($AH262*(1+$D262),"Error"))</f>
        <v/>
      </c>
      <c r="AJ262" s="60" t="str">
        <f aca="false">IF($AH262="","",IFERROR($C262/$AH262-1,"Error"))</f>
        <v/>
      </c>
      <c r="AK262" s="63" t="str">
        <f aca="false">IF($AH262="","",IFERROR(IF($C262&lt;=$AH262,"OK a ese precio","Bajar costo"),"Error"))</f>
        <v/>
      </c>
    </row>
    <row r="263" customFormat="false" ht="15" hidden="false" customHeight="false" outlineLevel="0" collapsed="false">
      <c r="E263" s="0" t="str">
        <f aca="false">IF($C263="","",$C263*(1+$D263))</f>
        <v/>
      </c>
      <c r="J263" s="57"/>
      <c r="K263" s="57"/>
      <c r="L263" s="58"/>
      <c r="M263" s="59"/>
      <c r="N263" s="59"/>
      <c r="O263" s="60" t="str">
        <f aca="false">IF($M263="","",IFERROR(IF($K263="Clásica",VLOOKUP("Argentina"&amp;$J263,Datos!$C:$D,2,0),VLOOKUP("Argentina"&amp;$J263,Datos!$C:$D,2,0)+VLOOKUP("Argentina"&amp;$K263,Datos!$H:$I,2,0)),"Error"))</f>
        <v/>
      </c>
      <c r="P263" s="61" t="str">
        <f aca="false">IF($M263="","",IFERROR(-$M263*$O263,"Error"))</f>
        <v/>
      </c>
      <c r="Q263" s="61" t="str">
        <f aca="false">IF($M263="","",IFERROR(-($P263-$P263/(1+Datos!$B$2)),"Error"))</f>
        <v/>
      </c>
      <c r="R263" s="61" t="str">
        <f aca="false">IF($M263="","",IF($M263&lt;=15000,-1000,IF($M263&lt;=25000,-2000,IF($M263&lt;=33000,-2400,0))))</f>
        <v/>
      </c>
      <c r="S263" s="61" t="str">
        <f aca="false">IF($M263="","",-($R263-$R263/(1+Datos!$B$2)))</f>
        <v/>
      </c>
      <c r="T263" s="61" t="str">
        <f aca="false">IF($M263="","",-$M263/(1+$L263)*$L263)</f>
        <v/>
      </c>
      <c r="U263" s="61" t="str">
        <f aca="false">IF($M263="","",$C263*$D263)</f>
        <v/>
      </c>
      <c r="V263" s="61" t="str">
        <f aca="false">IF($M263="","",-N($N263))</f>
        <v/>
      </c>
      <c r="W263" s="61" t="str">
        <f aca="false">IF($M263="","",-($V263-$V263/(1+Datos!$B$2)))</f>
        <v/>
      </c>
      <c r="X263" s="61" t="str">
        <f aca="false">IF($M263="","",-$M263*Datos!$C$2)</f>
        <v/>
      </c>
      <c r="Y263" s="61" t="str">
        <f aca="false">IF($M263="","",IFERROR($M263+$U263+$T263+$P263+$Q263+$R263+$S263+$V263+$W263+$X263,"Error"))</f>
        <v/>
      </c>
      <c r="Z263" s="61" t="str">
        <f aca="false">IF($M263="","",IFERROR($Y263-$E263,"Error"))</f>
        <v/>
      </c>
      <c r="AA263" s="60" t="str">
        <f aca="false">IF($M263="","",IFERROR($Z263/($M263+$T263),"Error"))</f>
        <v/>
      </c>
      <c r="AB263" s="62" t="str">
        <f aca="false">IF($M263="","",IFERROR($M263/$E263,"Error"))</f>
        <v/>
      </c>
      <c r="AD263" s="59"/>
      <c r="AE263" s="57"/>
      <c r="AF263" s="58"/>
      <c r="AG263" s="60" t="str">
        <f aca="false">IF(N($AD263)=0,"",IFERROR(($AD263/(1+$L263)-($AD263*$O263+IF($AD263&lt;=15000,1000,IF($AD263&lt;=25000,2000,IF($AD263&lt;=33000,2400,0)))+N($N263))/(1+Datos!$B$2)-$AD263*Datos!$C$2-$C263)/($AD263/(1+$L263)),"Error"))</f>
        <v/>
      </c>
      <c r="AH263" s="61" t="str">
        <f aca="false">IF(N($AD263)=0,"",IFERROR($AD263/(1+$L263)*(1-$AF263)-($AD263*$O263+IF($AD263&lt;=15000,1000,IF($AD263&lt;=25000,2000,IF($AD263&lt;=33000,2400,0)))+N($N263))/(1+Datos!$B$2)-$AD263*Datos!$C$2,"Error"))</f>
        <v/>
      </c>
      <c r="AI263" s="61" t="str">
        <f aca="false">IF($AH263="","",IFERROR($AH263*(1+$D263),"Error"))</f>
        <v/>
      </c>
      <c r="AJ263" s="60" t="str">
        <f aca="false">IF($AH263="","",IFERROR($C263/$AH263-1,"Error"))</f>
        <v/>
      </c>
      <c r="AK263" s="63" t="str">
        <f aca="false">IF($AH263="","",IFERROR(IF($C263&lt;=$AH263,"OK a ese precio","Bajar costo"),"Error"))</f>
        <v/>
      </c>
    </row>
    <row r="264" customFormat="false" ht="15" hidden="false" customHeight="false" outlineLevel="0" collapsed="false">
      <c r="E264" s="0" t="str">
        <f aca="false">IF($C264="","",$C264*(1+$D264))</f>
        <v/>
      </c>
      <c r="J264" s="57"/>
      <c r="K264" s="57"/>
      <c r="L264" s="58"/>
      <c r="M264" s="59"/>
      <c r="N264" s="59"/>
      <c r="O264" s="60" t="str">
        <f aca="false">IF($M264="","",IFERROR(IF($K264="Clásica",VLOOKUP("Argentina"&amp;$J264,Datos!$C:$D,2,0),VLOOKUP("Argentina"&amp;$J264,Datos!$C:$D,2,0)+VLOOKUP("Argentina"&amp;$K264,Datos!$H:$I,2,0)),"Error"))</f>
        <v/>
      </c>
      <c r="P264" s="61" t="str">
        <f aca="false">IF($M264="","",IFERROR(-$M264*$O264,"Error"))</f>
        <v/>
      </c>
      <c r="Q264" s="61" t="str">
        <f aca="false">IF($M264="","",IFERROR(-($P264-$P264/(1+Datos!$B$2)),"Error"))</f>
        <v/>
      </c>
      <c r="R264" s="61" t="str">
        <f aca="false">IF($M264="","",IF($M264&lt;=15000,-1000,IF($M264&lt;=25000,-2000,IF($M264&lt;=33000,-2400,0))))</f>
        <v/>
      </c>
      <c r="S264" s="61" t="str">
        <f aca="false">IF($M264="","",-($R264-$R264/(1+Datos!$B$2)))</f>
        <v/>
      </c>
      <c r="T264" s="61" t="str">
        <f aca="false">IF($M264="","",-$M264/(1+$L264)*$L264)</f>
        <v/>
      </c>
      <c r="U264" s="61" t="str">
        <f aca="false">IF($M264="","",$C264*$D264)</f>
        <v/>
      </c>
      <c r="V264" s="61" t="str">
        <f aca="false">IF($M264="","",-N($N264))</f>
        <v/>
      </c>
      <c r="W264" s="61" t="str">
        <f aca="false">IF($M264="","",-($V264-$V264/(1+Datos!$B$2)))</f>
        <v/>
      </c>
      <c r="X264" s="61" t="str">
        <f aca="false">IF($M264="","",-$M264*Datos!$C$2)</f>
        <v/>
      </c>
      <c r="Y264" s="61" t="str">
        <f aca="false">IF($M264="","",IFERROR($M264+$U264+$T264+$P264+$Q264+$R264+$S264+$V264+$W264+$X264,"Error"))</f>
        <v/>
      </c>
      <c r="Z264" s="61" t="str">
        <f aca="false">IF($M264="","",IFERROR($Y264-$E264,"Error"))</f>
        <v/>
      </c>
      <c r="AA264" s="60" t="str">
        <f aca="false">IF($M264="","",IFERROR($Z264/($M264+$T264),"Error"))</f>
        <v/>
      </c>
      <c r="AB264" s="62" t="str">
        <f aca="false">IF($M264="","",IFERROR($M264/$E264,"Error"))</f>
        <v/>
      </c>
      <c r="AD264" s="59"/>
      <c r="AE264" s="57"/>
      <c r="AF264" s="58"/>
      <c r="AG264" s="60" t="str">
        <f aca="false">IF(N($AD264)=0,"",IFERROR(($AD264/(1+$L264)-($AD264*$O264+IF($AD264&lt;=15000,1000,IF($AD264&lt;=25000,2000,IF($AD264&lt;=33000,2400,0)))+N($N264))/(1+Datos!$B$2)-$AD264*Datos!$C$2-$C264)/($AD264/(1+$L264)),"Error"))</f>
        <v/>
      </c>
      <c r="AH264" s="61" t="str">
        <f aca="false">IF(N($AD264)=0,"",IFERROR($AD264/(1+$L264)*(1-$AF264)-($AD264*$O264+IF($AD264&lt;=15000,1000,IF($AD264&lt;=25000,2000,IF($AD264&lt;=33000,2400,0)))+N($N264))/(1+Datos!$B$2)-$AD264*Datos!$C$2,"Error"))</f>
        <v/>
      </c>
      <c r="AI264" s="61" t="str">
        <f aca="false">IF($AH264="","",IFERROR($AH264*(1+$D264),"Error"))</f>
        <v/>
      </c>
      <c r="AJ264" s="60" t="str">
        <f aca="false">IF($AH264="","",IFERROR($C264/$AH264-1,"Error"))</f>
        <v/>
      </c>
      <c r="AK264" s="63" t="str">
        <f aca="false">IF($AH264="","",IFERROR(IF($C264&lt;=$AH264,"OK a ese precio","Bajar costo"),"Error"))</f>
        <v/>
      </c>
    </row>
    <row r="265" customFormat="false" ht="15" hidden="false" customHeight="false" outlineLevel="0" collapsed="false">
      <c r="E265" s="0" t="str">
        <f aca="false">IF($C265="","",$C265*(1+$D265))</f>
        <v/>
      </c>
      <c r="J265" s="57"/>
      <c r="K265" s="57"/>
      <c r="L265" s="58"/>
      <c r="M265" s="59"/>
      <c r="N265" s="59"/>
      <c r="O265" s="60" t="str">
        <f aca="false">IF($M265="","",IFERROR(IF($K265="Clásica",VLOOKUP("Argentina"&amp;$J265,Datos!$C:$D,2,0),VLOOKUP("Argentina"&amp;$J265,Datos!$C:$D,2,0)+VLOOKUP("Argentina"&amp;$K265,Datos!$H:$I,2,0)),"Error"))</f>
        <v/>
      </c>
      <c r="P265" s="61" t="str">
        <f aca="false">IF($M265="","",IFERROR(-$M265*$O265,"Error"))</f>
        <v/>
      </c>
      <c r="Q265" s="61" t="str">
        <f aca="false">IF($M265="","",IFERROR(-($P265-$P265/(1+Datos!$B$2)),"Error"))</f>
        <v/>
      </c>
      <c r="R265" s="61" t="str">
        <f aca="false">IF($M265="","",IF($M265&lt;=15000,-1000,IF($M265&lt;=25000,-2000,IF($M265&lt;=33000,-2400,0))))</f>
        <v/>
      </c>
      <c r="S265" s="61" t="str">
        <f aca="false">IF($M265="","",-($R265-$R265/(1+Datos!$B$2)))</f>
        <v/>
      </c>
      <c r="T265" s="61" t="str">
        <f aca="false">IF($M265="","",-$M265/(1+$L265)*$L265)</f>
        <v/>
      </c>
      <c r="U265" s="61" t="str">
        <f aca="false">IF($M265="","",$C265*$D265)</f>
        <v/>
      </c>
      <c r="V265" s="61" t="str">
        <f aca="false">IF($M265="","",-N($N265))</f>
        <v/>
      </c>
      <c r="W265" s="61" t="str">
        <f aca="false">IF($M265="","",-($V265-$V265/(1+Datos!$B$2)))</f>
        <v/>
      </c>
      <c r="X265" s="61" t="str">
        <f aca="false">IF($M265="","",-$M265*Datos!$C$2)</f>
        <v/>
      </c>
      <c r="Y265" s="61" t="str">
        <f aca="false">IF($M265="","",IFERROR($M265+$U265+$T265+$P265+$Q265+$R265+$S265+$V265+$W265+$X265,"Error"))</f>
        <v/>
      </c>
      <c r="Z265" s="61" t="str">
        <f aca="false">IF($M265="","",IFERROR($Y265-$E265,"Error"))</f>
        <v/>
      </c>
      <c r="AA265" s="60" t="str">
        <f aca="false">IF($M265="","",IFERROR($Z265/($M265+$T265),"Error"))</f>
        <v/>
      </c>
      <c r="AB265" s="62" t="str">
        <f aca="false">IF($M265="","",IFERROR($M265/$E265,"Error"))</f>
        <v/>
      </c>
      <c r="AD265" s="59"/>
      <c r="AE265" s="57"/>
      <c r="AF265" s="58"/>
      <c r="AG265" s="60" t="str">
        <f aca="false">IF(N($AD265)=0,"",IFERROR(($AD265/(1+$L265)-($AD265*$O265+IF($AD265&lt;=15000,1000,IF($AD265&lt;=25000,2000,IF($AD265&lt;=33000,2400,0)))+N($N265))/(1+Datos!$B$2)-$AD265*Datos!$C$2-$C265)/($AD265/(1+$L265)),"Error"))</f>
        <v/>
      </c>
      <c r="AH265" s="61" t="str">
        <f aca="false">IF(N($AD265)=0,"",IFERROR($AD265/(1+$L265)*(1-$AF265)-($AD265*$O265+IF($AD265&lt;=15000,1000,IF($AD265&lt;=25000,2000,IF($AD265&lt;=33000,2400,0)))+N($N265))/(1+Datos!$B$2)-$AD265*Datos!$C$2,"Error"))</f>
        <v/>
      </c>
      <c r="AI265" s="61" t="str">
        <f aca="false">IF($AH265="","",IFERROR($AH265*(1+$D265),"Error"))</f>
        <v/>
      </c>
      <c r="AJ265" s="60" t="str">
        <f aca="false">IF($AH265="","",IFERROR($C265/$AH265-1,"Error"))</f>
        <v/>
      </c>
      <c r="AK265" s="63" t="str">
        <f aca="false">IF($AH265="","",IFERROR(IF($C265&lt;=$AH265,"OK a ese precio","Bajar costo"),"Error"))</f>
        <v/>
      </c>
    </row>
    <row r="266" customFormat="false" ht="15" hidden="false" customHeight="false" outlineLevel="0" collapsed="false">
      <c r="E266" s="0" t="str">
        <f aca="false">IF($C266="","",$C266*(1+$D266))</f>
        <v/>
      </c>
      <c r="J266" s="57"/>
      <c r="K266" s="57"/>
      <c r="L266" s="58"/>
      <c r="M266" s="59"/>
      <c r="N266" s="59"/>
      <c r="O266" s="60" t="str">
        <f aca="false">IF($M266="","",IFERROR(IF($K266="Clásica",VLOOKUP("Argentina"&amp;$J266,Datos!$C:$D,2,0),VLOOKUP("Argentina"&amp;$J266,Datos!$C:$D,2,0)+VLOOKUP("Argentina"&amp;$K266,Datos!$H:$I,2,0)),"Error"))</f>
        <v/>
      </c>
      <c r="P266" s="61" t="str">
        <f aca="false">IF($M266="","",IFERROR(-$M266*$O266,"Error"))</f>
        <v/>
      </c>
      <c r="Q266" s="61" t="str">
        <f aca="false">IF($M266="","",IFERROR(-($P266-$P266/(1+Datos!$B$2)),"Error"))</f>
        <v/>
      </c>
      <c r="R266" s="61" t="str">
        <f aca="false">IF($M266="","",IF($M266&lt;=15000,-1000,IF($M266&lt;=25000,-2000,IF($M266&lt;=33000,-2400,0))))</f>
        <v/>
      </c>
      <c r="S266" s="61" t="str">
        <f aca="false">IF($M266="","",-($R266-$R266/(1+Datos!$B$2)))</f>
        <v/>
      </c>
      <c r="T266" s="61" t="str">
        <f aca="false">IF($M266="","",-$M266/(1+$L266)*$L266)</f>
        <v/>
      </c>
      <c r="U266" s="61" t="str">
        <f aca="false">IF($M266="","",$C266*$D266)</f>
        <v/>
      </c>
      <c r="V266" s="61" t="str">
        <f aca="false">IF($M266="","",-N($N266))</f>
        <v/>
      </c>
      <c r="W266" s="61" t="str">
        <f aca="false">IF($M266="","",-($V266-$V266/(1+Datos!$B$2)))</f>
        <v/>
      </c>
      <c r="X266" s="61" t="str">
        <f aca="false">IF($M266="","",-$M266*Datos!$C$2)</f>
        <v/>
      </c>
      <c r="Y266" s="61" t="str">
        <f aca="false">IF($M266="","",IFERROR($M266+$U266+$T266+$P266+$Q266+$R266+$S266+$V266+$W266+$X266,"Error"))</f>
        <v/>
      </c>
      <c r="Z266" s="61" t="str">
        <f aca="false">IF($M266="","",IFERROR($Y266-$E266,"Error"))</f>
        <v/>
      </c>
      <c r="AA266" s="60" t="str">
        <f aca="false">IF($M266="","",IFERROR($Z266/($M266+$T266),"Error"))</f>
        <v/>
      </c>
      <c r="AB266" s="62" t="str">
        <f aca="false">IF($M266="","",IFERROR($M266/$E266,"Error"))</f>
        <v/>
      </c>
      <c r="AD266" s="59"/>
      <c r="AE266" s="57"/>
      <c r="AF266" s="58"/>
      <c r="AG266" s="60" t="str">
        <f aca="false">IF(N($AD266)=0,"",IFERROR(($AD266/(1+$L266)-($AD266*$O266+IF($AD266&lt;=15000,1000,IF($AD266&lt;=25000,2000,IF($AD266&lt;=33000,2400,0)))+N($N266))/(1+Datos!$B$2)-$AD266*Datos!$C$2-$C266)/($AD266/(1+$L266)),"Error"))</f>
        <v/>
      </c>
      <c r="AH266" s="61" t="str">
        <f aca="false">IF(N($AD266)=0,"",IFERROR($AD266/(1+$L266)*(1-$AF266)-($AD266*$O266+IF($AD266&lt;=15000,1000,IF($AD266&lt;=25000,2000,IF($AD266&lt;=33000,2400,0)))+N($N266))/(1+Datos!$B$2)-$AD266*Datos!$C$2,"Error"))</f>
        <v/>
      </c>
      <c r="AI266" s="61" t="str">
        <f aca="false">IF($AH266="","",IFERROR($AH266*(1+$D266),"Error"))</f>
        <v/>
      </c>
      <c r="AJ266" s="60" t="str">
        <f aca="false">IF($AH266="","",IFERROR($C266/$AH266-1,"Error"))</f>
        <v/>
      </c>
      <c r="AK266" s="63" t="str">
        <f aca="false">IF($AH266="","",IFERROR(IF($C266&lt;=$AH266,"OK a ese precio","Bajar costo"),"Error"))</f>
        <v/>
      </c>
    </row>
    <row r="267" customFormat="false" ht="15" hidden="false" customHeight="false" outlineLevel="0" collapsed="false">
      <c r="E267" s="0" t="str">
        <f aca="false">IF($C267="","",$C267*(1+$D267))</f>
        <v/>
      </c>
      <c r="J267" s="57"/>
      <c r="K267" s="57"/>
      <c r="L267" s="58"/>
      <c r="M267" s="59"/>
      <c r="N267" s="59"/>
      <c r="O267" s="60" t="str">
        <f aca="false">IF($M267="","",IFERROR(IF($K267="Clásica",VLOOKUP("Argentina"&amp;$J267,Datos!$C:$D,2,0),VLOOKUP("Argentina"&amp;$J267,Datos!$C:$D,2,0)+VLOOKUP("Argentina"&amp;$K267,Datos!$H:$I,2,0)),"Error"))</f>
        <v/>
      </c>
      <c r="P267" s="61" t="str">
        <f aca="false">IF($M267="","",IFERROR(-$M267*$O267,"Error"))</f>
        <v/>
      </c>
      <c r="Q267" s="61" t="str">
        <f aca="false">IF($M267="","",IFERROR(-($P267-$P267/(1+Datos!$B$2)),"Error"))</f>
        <v/>
      </c>
      <c r="R267" s="61" t="str">
        <f aca="false">IF($M267="","",IF($M267&lt;=15000,-1000,IF($M267&lt;=25000,-2000,IF($M267&lt;=33000,-2400,0))))</f>
        <v/>
      </c>
      <c r="S267" s="61" t="str">
        <f aca="false">IF($M267="","",-($R267-$R267/(1+Datos!$B$2)))</f>
        <v/>
      </c>
      <c r="T267" s="61" t="str">
        <f aca="false">IF($M267="","",-$M267/(1+$L267)*$L267)</f>
        <v/>
      </c>
      <c r="U267" s="61" t="str">
        <f aca="false">IF($M267="","",$C267*$D267)</f>
        <v/>
      </c>
      <c r="V267" s="61" t="str">
        <f aca="false">IF($M267="","",-N($N267))</f>
        <v/>
      </c>
      <c r="W267" s="61" t="str">
        <f aca="false">IF($M267="","",-($V267-$V267/(1+Datos!$B$2)))</f>
        <v/>
      </c>
      <c r="X267" s="61" t="str">
        <f aca="false">IF($M267="","",-$M267*Datos!$C$2)</f>
        <v/>
      </c>
      <c r="Y267" s="61" t="str">
        <f aca="false">IF($M267="","",IFERROR($M267+$U267+$T267+$P267+$Q267+$R267+$S267+$V267+$W267+$X267,"Error"))</f>
        <v/>
      </c>
      <c r="Z267" s="61" t="str">
        <f aca="false">IF($M267="","",IFERROR($Y267-$E267,"Error"))</f>
        <v/>
      </c>
      <c r="AA267" s="60" t="str">
        <f aca="false">IF($M267="","",IFERROR($Z267/($M267+$T267),"Error"))</f>
        <v/>
      </c>
      <c r="AB267" s="62" t="str">
        <f aca="false">IF($M267="","",IFERROR($M267/$E267,"Error"))</f>
        <v/>
      </c>
      <c r="AD267" s="59"/>
      <c r="AE267" s="57"/>
      <c r="AF267" s="58"/>
      <c r="AG267" s="60" t="str">
        <f aca="false">IF(N($AD267)=0,"",IFERROR(($AD267/(1+$L267)-($AD267*$O267+IF($AD267&lt;=15000,1000,IF($AD267&lt;=25000,2000,IF($AD267&lt;=33000,2400,0)))+N($N267))/(1+Datos!$B$2)-$AD267*Datos!$C$2-$C267)/($AD267/(1+$L267)),"Error"))</f>
        <v/>
      </c>
      <c r="AH267" s="61" t="str">
        <f aca="false">IF(N($AD267)=0,"",IFERROR($AD267/(1+$L267)*(1-$AF267)-($AD267*$O267+IF($AD267&lt;=15000,1000,IF($AD267&lt;=25000,2000,IF($AD267&lt;=33000,2400,0)))+N($N267))/(1+Datos!$B$2)-$AD267*Datos!$C$2,"Error"))</f>
        <v/>
      </c>
      <c r="AI267" s="61" t="str">
        <f aca="false">IF($AH267="","",IFERROR($AH267*(1+$D267),"Error"))</f>
        <v/>
      </c>
      <c r="AJ267" s="60" t="str">
        <f aca="false">IF($AH267="","",IFERROR($C267/$AH267-1,"Error"))</f>
        <v/>
      </c>
      <c r="AK267" s="63" t="str">
        <f aca="false">IF($AH267="","",IFERROR(IF($C267&lt;=$AH267,"OK a ese precio","Bajar costo"),"Error"))</f>
        <v/>
      </c>
    </row>
    <row r="268" customFormat="false" ht="15" hidden="false" customHeight="false" outlineLevel="0" collapsed="false">
      <c r="E268" s="0" t="str">
        <f aca="false">IF($C268="","",$C268*(1+$D268))</f>
        <v/>
      </c>
      <c r="J268" s="57"/>
      <c r="K268" s="57"/>
      <c r="L268" s="58"/>
      <c r="M268" s="59"/>
      <c r="N268" s="59"/>
      <c r="O268" s="60" t="str">
        <f aca="false">IF($M268="","",IFERROR(IF($K268="Clásica",VLOOKUP("Argentina"&amp;$J268,Datos!$C:$D,2,0),VLOOKUP("Argentina"&amp;$J268,Datos!$C:$D,2,0)+VLOOKUP("Argentina"&amp;$K268,Datos!$H:$I,2,0)),"Error"))</f>
        <v/>
      </c>
      <c r="P268" s="61" t="str">
        <f aca="false">IF($M268="","",IFERROR(-$M268*$O268,"Error"))</f>
        <v/>
      </c>
      <c r="Q268" s="61" t="str">
        <f aca="false">IF($M268="","",IFERROR(-($P268-$P268/(1+Datos!$B$2)),"Error"))</f>
        <v/>
      </c>
      <c r="R268" s="61" t="str">
        <f aca="false">IF($M268="","",IF($M268&lt;=15000,-1000,IF($M268&lt;=25000,-2000,IF($M268&lt;=33000,-2400,0))))</f>
        <v/>
      </c>
      <c r="S268" s="61" t="str">
        <f aca="false">IF($M268="","",-($R268-$R268/(1+Datos!$B$2)))</f>
        <v/>
      </c>
      <c r="T268" s="61" t="str">
        <f aca="false">IF($M268="","",-$M268/(1+$L268)*$L268)</f>
        <v/>
      </c>
      <c r="U268" s="61" t="str">
        <f aca="false">IF($M268="","",$C268*$D268)</f>
        <v/>
      </c>
      <c r="V268" s="61" t="str">
        <f aca="false">IF($M268="","",-N($N268))</f>
        <v/>
      </c>
      <c r="W268" s="61" t="str">
        <f aca="false">IF($M268="","",-($V268-$V268/(1+Datos!$B$2)))</f>
        <v/>
      </c>
      <c r="X268" s="61" t="str">
        <f aca="false">IF($M268="","",-$M268*Datos!$C$2)</f>
        <v/>
      </c>
      <c r="Y268" s="61" t="str">
        <f aca="false">IF($M268="","",IFERROR($M268+$U268+$T268+$P268+$Q268+$R268+$S268+$V268+$W268+$X268,"Error"))</f>
        <v/>
      </c>
      <c r="Z268" s="61" t="str">
        <f aca="false">IF($M268="","",IFERROR($Y268-$E268,"Error"))</f>
        <v/>
      </c>
      <c r="AA268" s="60" t="str">
        <f aca="false">IF($M268="","",IFERROR($Z268/($M268+$T268),"Error"))</f>
        <v/>
      </c>
      <c r="AB268" s="62" t="str">
        <f aca="false">IF($M268="","",IFERROR($M268/$E268,"Error"))</f>
        <v/>
      </c>
      <c r="AD268" s="59"/>
      <c r="AE268" s="57"/>
      <c r="AF268" s="58"/>
      <c r="AG268" s="60" t="str">
        <f aca="false">IF(N($AD268)=0,"",IFERROR(($AD268/(1+$L268)-($AD268*$O268+IF($AD268&lt;=15000,1000,IF($AD268&lt;=25000,2000,IF($AD268&lt;=33000,2400,0)))+N($N268))/(1+Datos!$B$2)-$AD268*Datos!$C$2-$C268)/($AD268/(1+$L268)),"Error"))</f>
        <v/>
      </c>
      <c r="AH268" s="61" t="str">
        <f aca="false">IF(N($AD268)=0,"",IFERROR($AD268/(1+$L268)*(1-$AF268)-($AD268*$O268+IF($AD268&lt;=15000,1000,IF($AD268&lt;=25000,2000,IF($AD268&lt;=33000,2400,0)))+N($N268))/(1+Datos!$B$2)-$AD268*Datos!$C$2,"Error"))</f>
        <v/>
      </c>
      <c r="AI268" s="61" t="str">
        <f aca="false">IF($AH268="","",IFERROR($AH268*(1+$D268),"Error"))</f>
        <v/>
      </c>
      <c r="AJ268" s="60" t="str">
        <f aca="false">IF($AH268="","",IFERROR($C268/$AH268-1,"Error"))</f>
        <v/>
      </c>
      <c r="AK268" s="63" t="str">
        <f aca="false">IF($AH268="","",IFERROR(IF($C268&lt;=$AH268,"OK a ese precio","Bajar costo"),"Error"))</f>
        <v/>
      </c>
    </row>
    <row r="269" customFormat="false" ht="15" hidden="false" customHeight="false" outlineLevel="0" collapsed="false">
      <c r="E269" s="0" t="str">
        <f aca="false">IF($C269="","",$C269*(1+$D269))</f>
        <v/>
      </c>
      <c r="J269" s="57"/>
      <c r="K269" s="57"/>
      <c r="L269" s="58"/>
      <c r="M269" s="59"/>
      <c r="N269" s="59"/>
      <c r="O269" s="60" t="str">
        <f aca="false">IF($M269="","",IFERROR(IF($K269="Clásica",VLOOKUP("Argentina"&amp;$J269,Datos!$C:$D,2,0),VLOOKUP("Argentina"&amp;$J269,Datos!$C:$D,2,0)+VLOOKUP("Argentina"&amp;$K269,Datos!$H:$I,2,0)),"Error"))</f>
        <v/>
      </c>
      <c r="P269" s="61" t="str">
        <f aca="false">IF($M269="","",IFERROR(-$M269*$O269,"Error"))</f>
        <v/>
      </c>
      <c r="Q269" s="61" t="str">
        <f aca="false">IF($M269="","",IFERROR(-($P269-$P269/(1+Datos!$B$2)),"Error"))</f>
        <v/>
      </c>
      <c r="R269" s="61" t="str">
        <f aca="false">IF($M269="","",IF($M269&lt;=15000,-1000,IF($M269&lt;=25000,-2000,IF($M269&lt;=33000,-2400,0))))</f>
        <v/>
      </c>
      <c r="S269" s="61" t="str">
        <f aca="false">IF($M269="","",-($R269-$R269/(1+Datos!$B$2)))</f>
        <v/>
      </c>
      <c r="T269" s="61" t="str">
        <f aca="false">IF($M269="","",-$M269/(1+$L269)*$L269)</f>
        <v/>
      </c>
      <c r="U269" s="61" t="str">
        <f aca="false">IF($M269="","",$C269*$D269)</f>
        <v/>
      </c>
      <c r="V269" s="61" t="str">
        <f aca="false">IF($M269="","",-N($N269))</f>
        <v/>
      </c>
      <c r="W269" s="61" t="str">
        <f aca="false">IF($M269="","",-($V269-$V269/(1+Datos!$B$2)))</f>
        <v/>
      </c>
      <c r="X269" s="61" t="str">
        <f aca="false">IF($M269="","",-$M269*Datos!$C$2)</f>
        <v/>
      </c>
      <c r="Y269" s="61" t="str">
        <f aca="false">IF($M269="","",IFERROR($M269+$U269+$T269+$P269+$Q269+$R269+$S269+$V269+$W269+$X269,"Error"))</f>
        <v/>
      </c>
      <c r="Z269" s="61" t="str">
        <f aca="false">IF($M269="","",IFERROR($Y269-$E269,"Error"))</f>
        <v/>
      </c>
      <c r="AA269" s="60" t="str">
        <f aca="false">IF($M269="","",IFERROR($Z269/($M269+$T269),"Error"))</f>
        <v/>
      </c>
      <c r="AB269" s="62" t="str">
        <f aca="false">IF($M269="","",IFERROR($M269/$E269,"Error"))</f>
        <v/>
      </c>
      <c r="AD269" s="59"/>
      <c r="AE269" s="57"/>
      <c r="AF269" s="58"/>
      <c r="AG269" s="60" t="str">
        <f aca="false">IF(N($AD269)=0,"",IFERROR(($AD269/(1+$L269)-($AD269*$O269+IF($AD269&lt;=15000,1000,IF($AD269&lt;=25000,2000,IF($AD269&lt;=33000,2400,0)))+N($N269))/(1+Datos!$B$2)-$AD269*Datos!$C$2-$C269)/($AD269/(1+$L269)),"Error"))</f>
        <v/>
      </c>
      <c r="AH269" s="61" t="str">
        <f aca="false">IF(N($AD269)=0,"",IFERROR($AD269/(1+$L269)*(1-$AF269)-($AD269*$O269+IF($AD269&lt;=15000,1000,IF($AD269&lt;=25000,2000,IF($AD269&lt;=33000,2400,0)))+N($N269))/(1+Datos!$B$2)-$AD269*Datos!$C$2,"Error"))</f>
        <v/>
      </c>
      <c r="AI269" s="61" t="str">
        <f aca="false">IF($AH269="","",IFERROR($AH269*(1+$D269),"Error"))</f>
        <v/>
      </c>
      <c r="AJ269" s="60" t="str">
        <f aca="false">IF($AH269="","",IFERROR($C269/$AH269-1,"Error"))</f>
        <v/>
      </c>
      <c r="AK269" s="63" t="str">
        <f aca="false">IF($AH269="","",IFERROR(IF($C269&lt;=$AH269,"OK a ese precio","Bajar costo"),"Error"))</f>
        <v/>
      </c>
    </row>
    <row r="270" customFormat="false" ht="15" hidden="false" customHeight="false" outlineLevel="0" collapsed="false">
      <c r="E270" s="0" t="str">
        <f aca="false">IF($C270="","",$C270*(1+$D270))</f>
        <v/>
      </c>
      <c r="J270" s="57"/>
      <c r="K270" s="57"/>
      <c r="L270" s="58"/>
      <c r="M270" s="59"/>
      <c r="N270" s="59"/>
      <c r="O270" s="60" t="str">
        <f aca="false">IF($M270="","",IFERROR(IF($K270="Clásica",VLOOKUP("Argentina"&amp;$J270,Datos!$C:$D,2,0),VLOOKUP("Argentina"&amp;$J270,Datos!$C:$D,2,0)+VLOOKUP("Argentina"&amp;$K270,Datos!$H:$I,2,0)),"Error"))</f>
        <v/>
      </c>
      <c r="P270" s="61" t="str">
        <f aca="false">IF($M270="","",IFERROR(-$M270*$O270,"Error"))</f>
        <v/>
      </c>
      <c r="Q270" s="61" t="str">
        <f aca="false">IF($M270="","",IFERROR(-($P270-$P270/(1+Datos!$B$2)),"Error"))</f>
        <v/>
      </c>
      <c r="R270" s="61" t="str">
        <f aca="false">IF($M270="","",IF($M270&lt;=15000,-1000,IF($M270&lt;=25000,-2000,IF($M270&lt;=33000,-2400,0))))</f>
        <v/>
      </c>
      <c r="S270" s="61" t="str">
        <f aca="false">IF($M270="","",-($R270-$R270/(1+Datos!$B$2)))</f>
        <v/>
      </c>
      <c r="T270" s="61" t="str">
        <f aca="false">IF($M270="","",-$M270/(1+$L270)*$L270)</f>
        <v/>
      </c>
      <c r="U270" s="61" t="str">
        <f aca="false">IF($M270="","",$C270*$D270)</f>
        <v/>
      </c>
      <c r="V270" s="61" t="str">
        <f aca="false">IF($M270="","",-N($N270))</f>
        <v/>
      </c>
      <c r="W270" s="61" t="str">
        <f aca="false">IF($M270="","",-($V270-$V270/(1+Datos!$B$2)))</f>
        <v/>
      </c>
      <c r="X270" s="61" t="str">
        <f aca="false">IF($M270="","",-$M270*Datos!$C$2)</f>
        <v/>
      </c>
      <c r="Y270" s="61" t="str">
        <f aca="false">IF($M270="","",IFERROR($M270+$U270+$T270+$P270+$Q270+$R270+$S270+$V270+$W270+$X270,"Error"))</f>
        <v/>
      </c>
      <c r="Z270" s="61" t="str">
        <f aca="false">IF($M270="","",IFERROR($Y270-$E270,"Error"))</f>
        <v/>
      </c>
      <c r="AA270" s="60" t="str">
        <f aca="false">IF($M270="","",IFERROR($Z270/($M270+$T270),"Error"))</f>
        <v/>
      </c>
      <c r="AB270" s="62" t="str">
        <f aca="false">IF($M270="","",IFERROR($M270/$E270,"Error"))</f>
        <v/>
      </c>
      <c r="AD270" s="59"/>
      <c r="AE270" s="57"/>
      <c r="AF270" s="58"/>
      <c r="AG270" s="60" t="str">
        <f aca="false">IF(N($AD270)=0,"",IFERROR(($AD270/(1+$L270)-($AD270*$O270+IF($AD270&lt;=15000,1000,IF($AD270&lt;=25000,2000,IF($AD270&lt;=33000,2400,0)))+N($N270))/(1+Datos!$B$2)-$AD270*Datos!$C$2-$C270)/($AD270/(1+$L270)),"Error"))</f>
        <v/>
      </c>
      <c r="AH270" s="61" t="str">
        <f aca="false">IF(N($AD270)=0,"",IFERROR($AD270/(1+$L270)*(1-$AF270)-($AD270*$O270+IF($AD270&lt;=15000,1000,IF($AD270&lt;=25000,2000,IF($AD270&lt;=33000,2400,0)))+N($N270))/(1+Datos!$B$2)-$AD270*Datos!$C$2,"Error"))</f>
        <v/>
      </c>
      <c r="AI270" s="61" t="str">
        <f aca="false">IF($AH270="","",IFERROR($AH270*(1+$D270),"Error"))</f>
        <v/>
      </c>
      <c r="AJ270" s="60" t="str">
        <f aca="false">IF($AH270="","",IFERROR($C270/$AH270-1,"Error"))</f>
        <v/>
      </c>
      <c r="AK270" s="63" t="str">
        <f aca="false">IF($AH270="","",IFERROR(IF($C270&lt;=$AH270,"OK a ese precio","Bajar costo"),"Error"))</f>
        <v/>
      </c>
    </row>
    <row r="271" customFormat="false" ht="15" hidden="false" customHeight="false" outlineLevel="0" collapsed="false">
      <c r="E271" s="0" t="str">
        <f aca="false">IF($C271="","",$C271*(1+$D271))</f>
        <v/>
      </c>
      <c r="J271" s="57"/>
      <c r="K271" s="57"/>
      <c r="L271" s="58"/>
      <c r="M271" s="59"/>
      <c r="N271" s="59"/>
      <c r="O271" s="60" t="str">
        <f aca="false">IF($M271="","",IFERROR(IF($K271="Clásica",VLOOKUP("Argentina"&amp;$J271,Datos!$C:$D,2,0),VLOOKUP("Argentina"&amp;$J271,Datos!$C:$D,2,0)+VLOOKUP("Argentina"&amp;$K271,Datos!$H:$I,2,0)),"Error"))</f>
        <v/>
      </c>
      <c r="P271" s="61" t="str">
        <f aca="false">IF($M271="","",IFERROR(-$M271*$O271,"Error"))</f>
        <v/>
      </c>
      <c r="Q271" s="61" t="str">
        <f aca="false">IF($M271="","",IFERROR(-($P271-$P271/(1+Datos!$B$2)),"Error"))</f>
        <v/>
      </c>
      <c r="R271" s="61" t="str">
        <f aca="false">IF($M271="","",IF($M271&lt;=15000,-1000,IF($M271&lt;=25000,-2000,IF($M271&lt;=33000,-2400,0))))</f>
        <v/>
      </c>
      <c r="S271" s="61" t="str">
        <f aca="false">IF($M271="","",-($R271-$R271/(1+Datos!$B$2)))</f>
        <v/>
      </c>
      <c r="T271" s="61" t="str">
        <f aca="false">IF($M271="","",-$M271/(1+$L271)*$L271)</f>
        <v/>
      </c>
      <c r="U271" s="61" t="str">
        <f aca="false">IF($M271="","",$C271*$D271)</f>
        <v/>
      </c>
      <c r="V271" s="61" t="str">
        <f aca="false">IF($M271="","",-N($N271))</f>
        <v/>
      </c>
      <c r="W271" s="61" t="str">
        <f aca="false">IF($M271="","",-($V271-$V271/(1+Datos!$B$2)))</f>
        <v/>
      </c>
      <c r="X271" s="61" t="str">
        <f aca="false">IF($M271="","",-$M271*Datos!$C$2)</f>
        <v/>
      </c>
      <c r="Y271" s="61" t="str">
        <f aca="false">IF($M271="","",IFERROR($M271+$U271+$T271+$P271+$Q271+$R271+$S271+$V271+$W271+$X271,"Error"))</f>
        <v/>
      </c>
      <c r="Z271" s="61" t="str">
        <f aca="false">IF($M271="","",IFERROR($Y271-$E271,"Error"))</f>
        <v/>
      </c>
      <c r="AA271" s="60" t="str">
        <f aca="false">IF($M271="","",IFERROR($Z271/($M271+$T271),"Error"))</f>
        <v/>
      </c>
      <c r="AB271" s="62" t="str">
        <f aca="false">IF($M271="","",IFERROR($M271/$E271,"Error"))</f>
        <v/>
      </c>
      <c r="AD271" s="59"/>
      <c r="AE271" s="57"/>
      <c r="AF271" s="58"/>
      <c r="AG271" s="60" t="str">
        <f aca="false">IF(N($AD271)=0,"",IFERROR(($AD271/(1+$L271)-($AD271*$O271+IF($AD271&lt;=15000,1000,IF($AD271&lt;=25000,2000,IF($AD271&lt;=33000,2400,0)))+N($N271))/(1+Datos!$B$2)-$AD271*Datos!$C$2-$C271)/($AD271/(1+$L271)),"Error"))</f>
        <v/>
      </c>
      <c r="AH271" s="61" t="str">
        <f aca="false">IF(N($AD271)=0,"",IFERROR($AD271/(1+$L271)*(1-$AF271)-($AD271*$O271+IF($AD271&lt;=15000,1000,IF($AD271&lt;=25000,2000,IF($AD271&lt;=33000,2400,0)))+N($N271))/(1+Datos!$B$2)-$AD271*Datos!$C$2,"Error"))</f>
        <v/>
      </c>
      <c r="AI271" s="61" t="str">
        <f aca="false">IF($AH271="","",IFERROR($AH271*(1+$D271),"Error"))</f>
        <v/>
      </c>
      <c r="AJ271" s="60" t="str">
        <f aca="false">IF($AH271="","",IFERROR($C271/$AH271-1,"Error"))</f>
        <v/>
      </c>
      <c r="AK271" s="63" t="str">
        <f aca="false">IF($AH271="","",IFERROR(IF($C271&lt;=$AH271,"OK a ese precio","Bajar costo"),"Error"))</f>
        <v/>
      </c>
    </row>
    <row r="272" customFormat="false" ht="15" hidden="false" customHeight="false" outlineLevel="0" collapsed="false">
      <c r="E272" s="0" t="str">
        <f aca="false">IF($C272="","",$C272*(1+$D272))</f>
        <v/>
      </c>
      <c r="J272" s="57"/>
      <c r="K272" s="57"/>
      <c r="L272" s="58"/>
      <c r="M272" s="59"/>
      <c r="N272" s="59"/>
      <c r="O272" s="60" t="str">
        <f aca="false">IF($M272="","",IFERROR(IF($K272="Clásica",VLOOKUP("Argentina"&amp;$J272,Datos!$C:$D,2,0),VLOOKUP("Argentina"&amp;$J272,Datos!$C:$D,2,0)+VLOOKUP("Argentina"&amp;$K272,Datos!$H:$I,2,0)),"Error"))</f>
        <v/>
      </c>
      <c r="P272" s="61" t="str">
        <f aca="false">IF($M272="","",IFERROR(-$M272*$O272,"Error"))</f>
        <v/>
      </c>
      <c r="Q272" s="61" t="str">
        <f aca="false">IF($M272="","",IFERROR(-($P272-$P272/(1+Datos!$B$2)),"Error"))</f>
        <v/>
      </c>
      <c r="R272" s="61" t="str">
        <f aca="false">IF($M272="","",IF($M272&lt;=15000,-1000,IF($M272&lt;=25000,-2000,IF($M272&lt;=33000,-2400,0))))</f>
        <v/>
      </c>
      <c r="S272" s="61" t="str">
        <f aca="false">IF($M272="","",-($R272-$R272/(1+Datos!$B$2)))</f>
        <v/>
      </c>
      <c r="T272" s="61" t="str">
        <f aca="false">IF($M272="","",-$M272/(1+$L272)*$L272)</f>
        <v/>
      </c>
      <c r="U272" s="61" t="str">
        <f aca="false">IF($M272="","",$C272*$D272)</f>
        <v/>
      </c>
      <c r="V272" s="61" t="str">
        <f aca="false">IF($M272="","",-N($N272))</f>
        <v/>
      </c>
      <c r="W272" s="61" t="str">
        <f aca="false">IF($M272="","",-($V272-$V272/(1+Datos!$B$2)))</f>
        <v/>
      </c>
      <c r="X272" s="61" t="str">
        <f aca="false">IF($M272="","",-$M272*Datos!$C$2)</f>
        <v/>
      </c>
      <c r="Y272" s="61" t="str">
        <f aca="false">IF($M272="","",IFERROR($M272+$U272+$T272+$P272+$Q272+$R272+$S272+$V272+$W272+$X272,"Error"))</f>
        <v/>
      </c>
      <c r="Z272" s="61" t="str">
        <f aca="false">IF($M272="","",IFERROR($Y272-$E272,"Error"))</f>
        <v/>
      </c>
      <c r="AA272" s="60" t="str">
        <f aca="false">IF($M272="","",IFERROR($Z272/($M272+$T272),"Error"))</f>
        <v/>
      </c>
      <c r="AB272" s="62" t="str">
        <f aca="false">IF($M272="","",IFERROR($M272/$E272,"Error"))</f>
        <v/>
      </c>
      <c r="AD272" s="59"/>
      <c r="AE272" s="57"/>
      <c r="AF272" s="58"/>
      <c r="AG272" s="60" t="str">
        <f aca="false">IF(N($AD272)=0,"",IFERROR(($AD272/(1+$L272)-($AD272*$O272+IF($AD272&lt;=15000,1000,IF($AD272&lt;=25000,2000,IF($AD272&lt;=33000,2400,0)))+N($N272))/(1+Datos!$B$2)-$AD272*Datos!$C$2-$C272)/($AD272/(1+$L272)),"Error"))</f>
        <v/>
      </c>
      <c r="AH272" s="61" t="str">
        <f aca="false">IF(N($AD272)=0,"",IFERROR($AD272/(1+$L272)*(1-$AF272)-($AD272*$O272+IF($AD272&lt;=15000,1000,IF($AD272&lt;=25000,2000,IF($AD272&lt;=33000,2400,0)))+N($N272))/(1+Datos!$B$2)-$AD272*Datos!$C$2,"Error"))</f>
        <v/>
      </c>
      <c r="AI272" s="61" t="str">
        <f aca="false">IF($AH272="","",IFERROR($AH272*(1+$D272),"Error"))</f>
        <v/>
      </c>
      <c r="AJ272" s="60" t="str">
        <f aca="false">IF($AH272="","",IFERROR($C272/$AH272-1,"Error"))</f>
        <v/>
      </c>
      <c r="AK272" s="63" t="str">
        <f aca="false">IF($AH272="","",IFERROR(IF($C272&lt;=$AH272,"OK a ese precio","Bajar costo"),"Error"))</f>
        <v/>
      </c>
    </row>
    <row r="273" customFormat="false" ht="15" hidden="false" customHeight="false" outlineLevel="0" collapsed="false">
      <c r="E273" s="0" t="str">
        <f aca="false">IF($C273="","",$C273*(1+$D273))</f>
        <v/>
      </c>
      <c r="J273" s="57"/>
      <c r="K273" s="57"/>
      <c r="L273" s="58"/>
      <c r="M273" s="59"/>
      <c r="N273" s="59"/>
      <c r="O273" s="60" t="str">
        <f aca="false">IF($M273="","",IFERROR(IF($K273="Clásica",VLOOKUP("Argentina"&amp;$J273,Datos!$C:$D,2,0),VLOOKUP("Argentina"&amp;$J273,Datos!$C:$D,2,0)+VLOOKUP("Argentina"&amp;$K273,Datos!$H:$I,2,0)),"Error"))</f>
        <v/>
      </c>
      <c r="P273" s="61" t="str">
        <f aca="false">IF($M273="","",IFERROR(-$M273*$O273,"Error"))</f>
        <v/>
      </c>
      <c r="Q273" s="61" t="str">
        <f aca="false">IF($M273="","",IFERROR(-($P273-$P273/(1+Datos!$B$2)),"Error"))</f>
        <v/>
      </c>
      <c r="R273" s="61" t="str">
        <f aca="false">IF($M273="","",IF($M273&lt;=15000,-1000,IF($M273&lt;=25000,-2000,IF($M273&lt;=33000,-2400,0))))</f>
        <v/>
      </c>
      <c r="S273" s="61" t="str">
        <f aca="false">IF($M273="","",-($R273-$R273/(1+Datos!$B$2)))</f>
        <v/>
      </c>
      <c r="T273" s="61" t="str">
        <f aca="false">IF($M273="","",-$M273/(1+$L273)*$L273)</f>
        <v/>
      </c>
      <c r="U273" s="61" t="str">
        <f aca="false">IF($M273="","",$C273*$D273)</f>
        <v/>
      </c>
      <c r="V273" s="61" t="str">
        <f aca="false">IF($M273="","",-N($N273))</f>
        <v/>
      </c>
      <c r="W273" s="61" t="str">
        <f aca="false">IF($M273="","",-($V273-$V273/(1+Datos!$B$2)))</f>
        <v/>
      </c>
      <c r="X273" s="61" t="str">
        <f aca="false">IF($M273="","",-$M273*Datos!$C$2)</f>
        <v/>
      </c>
      <c r="Y273" s="61" t="str">
        <f aca="false">IF($M273="","",IFERROR($M273+$U273+$T273+$P273+$Q273+$R273+$S273+$V273+$W273+$X273,"Error"))</f>
        <v/>
      </c>
      <c r="Z273" s="61" t="str">
        <f aca="false">IF($M273="","",IFERROR($Y273-$E273,"Error"))</f>
        <v/>
      </c>
      <c r="AA273" s="60" t="str">
        <f aca="false">IF($M273="","",IFERROR($Z273/($M273+$T273),"Error"))</f>
        <v/>
      </c>
      <c r="AB273" s="62" t="str">
        <f aca="false">IF($M273="","",IFERROR($M273/$E273,"Error"))</f>
        <v/>
      </c>
      <c r="AD273" s="59"/>
      <c r="AE273" s="57"/>
      <c r="AF273" s="58"/>
      <c r="AG273" s="60" t="str">
        <f aca="false">IF(N($AD273)=0,"",IFERROR(($AD273/(1+$L273)-($AD273*$O273+IF($AD273&lt;=15000,1000,IF($AD273&lt;=25000,2000,IF($AD273&lt;=33000,2400,0)))+N($N273))/(1+Datos!$B$2)-$AD273*Datos!$C$2-$C273)/($AD273/(1+$L273)),"Error"))</f>
        <v/>
      </c>
      <c r="AH273" s="61" t="str">
        <f aca="false">IF(N($AD273)=0,"",IFERROR($AD273/(1+$L273)*(1-$AF273)-($AD273*$O273+IF($AD273&lt;=15000,1000,IF($AD273&lt;=25000,2000,IF($AD273&lt;=33000,2400,0)))+N($N273))/(1+Datos!$B$2)-$AD273*Datos!$C$2,"Error"))</f>
        <v/>
      </c>
      <c r="AI273" s="61" t="str">
        <f aca="false">IF($AH273="","",IFERROR($AH273*(1+$D273),"Error"))</f>
        <v/>
      </c>
      <c r="AJ273" s="60" t="str">
        <f aca="false">IF($AH273="","",IFERROR($C273/$AH273-1,"Error"))</f>
        <v/>
      </c>
      <c r="AK273" s="63" t="str">
        <f aca="false">IF($AH273="","",IFERROR(IF($C273&lt;=$AH273,"OK a ese precio","Bajar costo"),"Error"))</f>
        <v/>
      </c>
    </row>
    <row r="274" customFormat="false" ht="15" hidden="false" customHeight="false" outlineLevel="0" collapsed="false">
      <c r="E274" s="0" t="str">
        <f aca="false">IF($C274="","",$C274*(1+$D274))</f>
        <v/>
      </c>
      <c r="J274" s="57"/>
      <c r="K274" s="57"/>
      <c r="L274" s="58"/>
      <c r="M274" s="59"/>
      <c r="N274" s="59"/>
      <c r="O274" s="60" t="str">
        <f aca="false">IF($M274="","",IFERROR(IF($K274="Clásica",VLOOKUP("Argentina"&amp;$J274,Datos!$C:$D,2,0),VLOOKUP("Argentina"&amp;$J274,Datos!$C:$D,2,0)+VLOOKUP("Argentina"&amp;$K274,Datos!$H:$I,2,0)),"Error"))</f>
        <v/>
      </c>
      <c r="P274" s="61" t="str">
        <f aca="false">IF($M274="","",IFERROR(-$M274*$O274,"Error"))</f>
        <v/>
      </c>
      <c r="Q274" s="61" t="str">
        <f aca="false">IF($M274="","",IFERROR(-($P274-$P274/(1+Datos!$B$2)),"Error"))</f>
        <v/>
      </c>
      <c r="R274" s="61" t="str">
        <f aca="false">IF($M274="","",IF($M274&lt;=15000,-1000,IF($M274&lt;=25000,-2000,IF($M274&lt;=33000,-2400,0))))</f>
        <v/>
      </c>
      <c r="S274" s="61" t="str">
        <f aca="false">IF($M274="","",-($R274-$R274/(1+Datos!$B$2)))</f>
        <v/>
      </c>
      <c r="T274" s="61" t="str">
        <f aca="false">IF($M274="","",-$M274/(1+$L274)*$L274)</f>
        <v/>
      </c>
      <c r="U274" s="61" t="str">
        <f aca="false">IF($M274="","",$C274*$D274)</f>
        <v/>
      </c>
      <c r="V274" s="61" t="str">
        <f aca="false">IF($M274="","",-N($N274))</f>
        <v/>
      </c>
      <c r="W274" s="61" t="str">
        <f aca="false">IF($M274="","",-($V274-$V274/(1+Datos!$B$2)))</f>
        <v/>
      </c>
      <c r="X274" s="61" t="str">
        <f aca="false">IF($M274="","",-$M274*Datos!$C$2)</f>
        <v/>
      </c>
      <c r="Y274" s="61" t="str">
        <f aca="false">IF($M274="","",IFERROR($M274+$U274+$T274+$P274+$Q274+$R274+$S274+$V274+$W274+$X274,"Error"))</f>
        <v/>
      </c>
      <c r="Z274" s="61" t="str">
        <f aca="false">IF($M274="","",IFERROR($Y274-$E274,"Error"))</f>
        <v/>
      </c>
      <c r="AA274" s="60" t="str">
        <f aca="false">IF($M274="","",IFERROR($Z274/($M274+$T274),"Error"))</f>
        <v/>
      </c>
      <c r="AB274" s="62" t="str">
        <f aca="false">IF($M274="","",IFERROR($M274/$E274,"Error"))</f>
        <v/>
      </c>
      <c r="AD274" s="59"/>
      <c r="AE274" s="57"/>
      <c r="AF274" s="58"/>
      <c r="AG274" s="60" t="str">
        <f aca="false">IF(N($AD274)=0,"",IFERROR(($AD274/(1+$L274)-($AD274*$O274+IF($AD274&lt;=15000,1000,IF($AD274&lt;=25000,2000,IF($AD274&lt;=33000,2400,0)))+N($N274))/(1+Datos!$B$2)-$AD274*Datos!$C$2-$C274)/($AD274/(1+$L274)),"Error"))</f>
        <v/>
      </c>
      <c r="AH274" s="61" t="str">
        <f aca="false">IF(N($AD274)=0,"",IFERROR($AD274/(1+$L274)*(1-$AF274)-($AD274*$O274+IF($AD274&lt;=15000,1000,IF($AD274&lt;=25000,2000,IF($AD274&lt;=33000,2400,0)))+N($N274))/(1+Datos!$B$2)-$AD274*Datos!$C$2,"Error"))</f>
        <v/>
      </c>
      <c r="AI274" s="61" t="str">
        <f aca="false">IF($AH274="","",IFERROR($AH274*(1+$D274),"Error"))</f>
        <v/>
      </c>
      <c r="AJ274" s="60" t="str">
        <f aca="false">IF($AH274="","",IFERROR($C274/$AH274-1,"Error"))</f>
        <v/>
      </c>
      <c r="AK274" s="63" t="str">
        <f aca="false">IF($AH274="","",IFERROR(IF($C274&lt;=$AH274,"OK a ese precio","Bajar costo"),"Error"))</f>
        <v/>
      </c>
    </row>
    <row r="275" customFormat="false" ht="15" hidden="false" customHeight="false" outlineLevel="0" collapsed="false">
      <c r="E275" s="0" t="str">
        <f aca="false">IF($C275="","",$C275*(1+$D275))</f>
        <v/>
      </c>
      <c r="J275" s="57"/>
      <c r="K275" s="57"/>
      <c r="L275" s="58"/>
      <c r="M275" s="59"/>
      <c r="N275" s="59"/>
      <c r="O275" s="60" t="str">
        <f aca="false">IF($M275="","",IFERROR(IF($K275="Clásica",VLOOKUP("Argentina"&amp;$J275,Datos!$C:$D,2,0),VLOOKUP("Argentina"&amp;$J275,Datos!$C:$D,2,0)+VLOOKUP("Argentina"&amp;$K275,Datos!$H:$I,2,0)),"Error"))</f>
        <v/>
      </c>
      <c r="P275" s="61" t="str">
        <f aca="false">IF($M275="","",IFERROR(-$M275*$O275,"Error"))</f>
        <v/>
      </c>
      <c r="Q275" s="61" t="str">
        <f aca="false">IF($M275="","",IFERROR(-($P275-$P275/(1+Datos!$B$2)),"Error"))</f>
        <v/>
      </c>
      <c r="R275" s="61" t="str">
        <f aca="false">IF($M275="","",IF($M275&lt;=15000,-1000,IF($M275&lt;=25000,-2000,IF($M275&lt;=33000,-2400,0))))</f>
        <v/>
      </c>
      <c r="S275" s="61" t="str">
        <f aca="false">IF($M275="","",-($R275-$R275/(1+Datos!$B$2)))</f>
        <v/>
      </c>
      <c r="T275" s="61" t="str">
        <f aca="false">IF($M275="","",-$M275/(1+$L275)*$L275)</f>
        <v/>
      </c>
      <c r="U275" s="61" t="str">
        <f aca="false">IF($M275="","",$C275*$D275)</f>
        <v/>
      </c>
      <c r="V275" s="61" t="str">
        <f aca="false">IF($M275="","",-N($N275))</f>
        <v/>
      </c>
      <c r="W275" s="61" t="str">
        <f aca="false">IF($M275="","",-($V275-$V275/(1+Datos!$B$2)))</f>
        <v/>
      </c>
      <c r="X275" s="61" t="str">
        <f aca="false">IF($M275="","",-$M275*Datos!$C$2)</f>
        <v/>
      </c>
      <c r="Y275" s="61" t="str">
        <f aca="false">IF($M275="","",IFERROR($M275+$U275+$T275+$P275+$Q275+$R275+$S275+$V275+$W275+$X275,"Error"))</f>
        <v/>
      </c>
      <c r="Z275" s="61" t="str">
        <f aca="false">IF($M275="","",IFERROR($Y275-$E275,"Error"))</f>
        <v/>
      </c>
      <c r="AA275" s="60" t="str">
        <f aca="false">IF($M275="","",IFERROR($Z275/($M275+$T275),"Error"))</f>
        <v/>
      </c>
      <c r="AB275" s="62" t="str">
        <f aca="false">IF($M275="","",IFERROR($M275/$E275,"Error"))</f>
        <v/>
      </c>
      <c r="AD275" s="59"/>
      <c r="AE275" s="57"/>
      <c r="AF275" s="58"/>
      <c r="AG275" s="60" t="str">
        <f aca="false">IF(N($AD275)=0,"",IFERROR(($AD275/(1+$L275)-($AD275*$O275+IF($AD275&lt;=15000,1000,IF($AD275&lt;=25000,2000,IF($AD275&lt;=33000,2400,0)))+N($N275))/(1+Datos!$B$2)-$AD275*Datos!$C$2-$C275)/($AD275/(1+$L275)),"Error"))</f>
        <v/>
      </c>
      <c r="AH275" s="61" t="str">
        <f aca="false">IF(N($AD275)=0,"",IFERROR($AD275/(1+$L275)*(1-$AF275)-($AD275*$O275+IF($AD275&lt;=15000,1000,IF($AD275&lt;=25000,2000,IF($AD275&lt;=33000,2400,0)))+N($N275))/(1+Datos!$B$2)-$AD275*Datos!$C$2,"Error"))</f>
        <v/>
      </c>
      <c r="AI275" s="61" t="str">
        <f aca="false">IF($AH275="","",IFERROR($AH275*(1+$D275),"Error"))</f>
        <v/>
      </c>
      <c r="AJ275" s="60" t="str">
        <f aca="false">IF($AH275="","",IFERROR($C275/$AH275-1,"Error"))</f>
        <v/>
      </c>
      <c r="AK275" s="63" t="str">
        <f aca="false">IF($AH275="","",IFERROR(IF($C275&lt;=$AH275,"OK a ese precio","Bajar costo"),"Error"))</f>
        <v/>
      </c>
    </row>
    <row r="276" customFormat="false" ht="15" hidden="false" customHeight="false" outlineLevel="0" collapsed="false">
      <c r="E276" s="0" t="str">
        <f aca="false">IF($C276="","",$C276*(1+$D276))</f>
        <v/>
      </c>
      <c r="J276" s="57"/>
      <c r="K276" s="57"/>
      <c r="L276" s="58"/>
      <c r="M276" s="59"/>
      <c r="N276" s="59"/>
      <c r="O276" s="60" t="str">
        <f aca="false">IF($M276="","",IFERROR(IF($K276="Clásica",VLOOKUP("Argentina"&amp;$J276,Datos!$C:$D,2,0),VLOOKUP("Argentina"&amp;$J276,Datos!$C:$D,2,0)+VLOOKUP("Argentina"&amp;$K276,Datos!$H:$I,2,0)),"Error"))</f>
        <v/>
      </c>
      <c r="P276" s="61" t="str">
        <f aca="false">IF($M276="","",IFERROR(-$M276*$O276,"Error"))</f>
        <v/>
      </c>
      <c r="Q276" s="61" t="str">
        <f aca="false">IF($M276="","",IFERROR(-($P276-$P276/(1+Datos!$B$2)),"Error"))</f>
        <v/>
      </c>
      <c r="R276" s="61" t="str">
        <f aca="false">IF($M276="","",IF($M276&lt;=15000,-1000,IF($M276&lt;=25000,-2000,IF($M276&lt;=33000,-2400,0))))</f>
        <v/>
      </c>
      <c r="S276" s="61" t="str">
        <f aca="false">IF($M276="","",-($R276-$R276/(1+Datos!$B$2)))</f>
        <v/>
      </c>
      <c r="T276" s="61" t="str">
        <f aca="false">IF($M276="","",-$M276/(1+$L276)*$L276)</f>
        <v/>
      </c>
      <c r="U276" s="61" t="str">
        <f aca="false">IF($M276="","",$C276*$D276)</f>
        <v/>
      </c>
      <c r="V276" s="61" t="str">
        <f aca="false">IF($M276="","",-N($N276))</f>
        <v/>
      </c>
      <c r="W276" s="61" t="str">
        <f aca="false">IF($M276="","",-($V276-$V276/(1+Datos!$B$2)))</f>
        <v/>
      </c>
      <c r="X276" s="61" t="str">
        <f aca="false">IF($M276="","",-$M276*Datos!$C$2)</f>
        <v/>
      </c>
      <c r="Y276" s="61" t="str">
        <f aca="false">IF($M276="","",IFERROR($M276+$U276+$T276+$P276+$Q276+$R276+$S276+$V276+$W276+$X276,"Error"))</f>
        <v/>
      </c>
      <c r="Z276" s="61" t="str">
        <f aca="false">IF($M276="","",IFERROR($Y276-$E276,"Error"))</f>
        <v/>
      </c>
      <c r="AA276" s="60" t="str">
        <f aca="false">IF($M276="","",IFERROR($Z276/($M276+$T276),"Error"))</f>
        <v/>
      </c>
      <c r="AB276" s="62" t="str">
        <f aca="false">IF($M276="","",IFERROR($M276/$E276,"Error"))</f>
        <v/>
      </c>
      <c r="AD276" s="59"/>
      <c r="AE276" s="57"/>
      <c r="AF276" s="58"/>
      <c r="AG276" s="60" t="str">
        <f aca="false">IF(N($AD276)=0,"",IFERROR(($AD276/(1+$L276)-($AD276*$O276+IF($AD276&lt;=15000,1000,IF($AD276&lt;=25000,2000,IF($AD276&lt;=33000,2400,0)))+N($N276))/(1+Datos!$B$2)-$AD276*Datos!$C$2-$C276)/($AD276/(1+$L276)),"Error"))</f>
        <v/>
      </c>
      <c r="AH276" s="61" t="str">
        <f aca="false">IF(N($AD276)=0,"",IFERROR($AD276/(1+$L276)*(1-$AF276)-($AD276*$O276+IF($AD276&lt;=15000,1000,IF($AD276&lt;=25000,2000,IF($AD276&lt;=33000,2400,0)))+N($N276))/(1+Datos!$B$2)-$AD276*Datos!$C$2,"Error"))</f>
        <v/>
      </c>
      <c r="AI276" s="61" t="str">
        <f aca="false">IF($AH276="","",IFERROR($AH276*(1+$D276),"Error"))</f>
        <v/>
      </c>
      <c r="AJ276" s="60" t="str">
        <f aca="false">IF($AH276="","",IFERROR($C276/$AH276-1,"Error"))</f>
        <v/>
      </c>
      <c r="AK276" s="63" t="str">
        <f aca="false">IF($AH276="","",IFERROR(IF($C276&lt;=$AH276,"OK a ese precio","Bajar costo"),"Error"))</f>
        <v/>
      </c>
    </row>
    <row r="277" customFormat="false" ht="15" hidden="false" customHeight="false" outlineLevel="0" collapsed="false">
      <c r="E277" s="0" t="str">
        <f aca="false">IF($C277="","",$C277*(1+$D277))</f>
        <v/>
      </c>
      <c r="J277" s="57"/>
      <c r="K277" s="57"/>
      <c r="L277" s="58"/>
      <c r="M277" s="59"/>
      <c r="N277" s="59"/>
      <c r="O277" s="60" t="str">
        <f aca="false">IF($M277="","",IFERROR(IF($K277="Clásica",VLOOKUP("Argentina"&amp;$J277,Datos!$C:$D,2,0),VLOOKUP("Argentina"&amp;$J277,Datos!$C:$D,2,0)+VLOOKUP("Argentina"&amp;$K277,Datos!$H:$I,2,0)),"Error"))</f>
        <v/>
      </c>
      <c r="P277" s="61" t="str">
        <f aca="false">IF($M277="","",IFERROR(-$M277*$O277,"Error"))</f>
        <v/>
      </c>
      <c r="Q277" s="61" t="str">
        <f aca="false">IF($M277="","",IFERROR(-($P277-$P277/(1+Datos!$B$2)),"Error"))</f>
        <v/>
      </c>
      <c r="R277" s="61" t="str">
        <f aca="false">IF($M277="","",IF($M277&lt;=15000,-1000,IF($M277&lt;=25000,-2000,IF($M277&lt;=33000,-2400,0))))</f>
        <v/>
      </c>
      <c r="S277" s="61" t="str">
        <f aca="false">IF($M277="","",-($R277-$R277/(1+Datos!$B$2)))</f>
        <v/>
      </c>
      <c r="T277" s="61" t="str">
        <f aca="false">IF($M277="","",-$M277/(1+$L277)*$L277)</f>
        <v/>
      </c>
      <c r="U277" s="61" t="str">
        <f aca="false">IF($M277="","",$C277*$D277)</f>
        <v/>
      </c>
      <c r="V277" s="61" t="str">
        <f aca="false">IF($M277="","",-N($N277))</f>
        <v/>
      </c>
      <c r="W277" s="61" t="str">
        <f aca="false">IF($M277="","",-($V277-$V277/(1+Datos!$B$2)))</f>
        <v/>
      </c>
      <c r="X277" s="61" t="str">
        <f aca="false">IF($M277="","",-$M277*Datos!$C$2)</f>
        <v/>
      </c>
      <c r="Y277" s="61" t="str">
        <f aca="false">IF($M277="","",IFERROR($M277+$U277+$T277+$P277+$Q277+$R277+$S277+$V277+$W277+$X277,"Error"))</f>
        <v/>
      </c>
      <c r="Z277" s="61" t="str">
        <f aca="false">IF($M277="","",IFERROR($Y277-$E277,"Error"))</f>
        <v/>
      </c>
      <c r="AA277" s="60" t="str">
        <f aca="false">IF($M277="","",IFERROR($Z277/($M277+$T277),"Error"))</f>
        <v/>
      </c>
      <c r="AB277" s="62" t="str">
        <f aca="false">IF($M277="","",IFERROR($M277/$E277,"Error"))</f>
        <v/>
      </c>
      <c r="AD277" s="59"/>
      <c r="AE277" s="57"/>
      <c r="AF277" s="58"/>
      <c r="AG277" s="60" t="str">
        <f aca="false">IF(N($AD277)=0,"",IFERROR(($AD277/(1+$L277)-($AD277*$O277+IF($AD277&lt;=15000,1000,IF($AD277&lt;=25000,2000,IF($AD277&lt;=33000,2400,0)))+N($N277))/(1+Datos!$B$2)-$AD277*Datos!$C$2-$C277)/($AD277/(1+$L277)),"Error"))</f>
        <v/>
      </c>
      <c r="AH277" s="61" t="str">
        <f aca="false">IF(N($AD277)=0,"",IFERROR($AD277/(1+$L277)*(1-$AF277)-($AD277*$O277+IF($AD277&lt;=15000,1000,IF($AD277&lt;=25000,2000,IF($AD277&lt;=33000,2400,0)))+N($N277))/(1+Datos!$B$2)-$AD277*Datos!$C$2,"Error"))</f>
        <v/>
      </c>
      <c r="AI277" s="61" t="str">
        <f aca="false">IF($AH277="","",IFERROR($AH277*(1+$D277),"Error"))</f>
        <v/>
      </c>
      <c r="AJ277" s="60" t="str">
        <f aca="false">IF($AH277="","",IFERROR($C277/$AH277-1,"Error"))</f>
        <v/>
      </c>
      <c r="AK277" s="63" t="str">
        <f aca="false">IF($AH277="","",IFERROR(IF($C277&lt;=$AH277,"OK a ese precio","Bajar costo"),"Error"))</f>
        <v/>
      </c>
    </row>
    <row r="278" customFormat="false" ht="15" hidden="false" customHeight="false" outlineLevel="0" collapsed="false">
      <c r="E278" s="0" t="str">
        <f aca="false">IF($C278="","",$C278*(1+$D278))</f>
        <v/>
      </c>
      <c r="J278" s="57"/>
      <c r="K278" s="57"/>
      <c r="L278" s="58"/>
      <c r="M278" s="59"/>
      <c r="N278" s="59"/>
      <c r="O278" s="60" t="str">
        <f aca="false">IF($M278="","",IFERROR(IF($K278="Clásica",VLOOKUP("Argentina"&amp;$J278,Datos!$C:$D,2,0),VLOOKUP("Argentina"&amp;$J278,Datos!$C:$D,2,0)+VLOOKUP("Argentina"&amp;$K278,Datos!$H:$I,2,0)),"Error"))</f>
        <v/>
      </c>
      <c r="P278" s="61" t="str">
        <f aca="false">IF($M278="","",IFERROR(-$M278*$O278,"Error"))</f>
        <v/>
      </c>
      <c r="Q278" s="61" t="str">
        <f aca="false">IF($M278="","",IFERROR(-($P278-$P278/(1+Datos!$B$2)),"Error"))</f>
        <v/>
      </c>
      <c r="R278" s="61" t="str">
        <f aca="false">IF($M278="","",IF($M278&lt;=15000,-1000,IF($M278&lt;=25000,-2000,IF($M278&lt;=33000,-2400,0))))</f>
        <v/>
      </c>
      <c r="S278" s="61" t="str">
        <f aca="false">IF($M278="","",-($R278-$R278/(1+Datos!$B$2)))</f>
        <v/>
      </c>
      <c r="T278" s="61" t="str">
        <f aca="false">IF($M278="","",-$M278/(1+$L278)*$L278)</f>
        <v/>
      </c>
      <c r="U278" s="61" t="str">
        <f aca="false">IF($M278="","",$C278*$D278)</f>
        <v/>
      </c>
      <c r="V278" s="61" t="str">
        <f aca="false">IF($M278="","",-N($N278))</f>
        <v/>
      </c>
      <c r="W278" s="61" t="str">
        <f aca="false">IF($M278="","",-($V278-$V278/(1+Datos!$B$2)))</f>
        <v/>
      </c>
      <c r="X278" s="61" t="str">
        <f aca="false">IF($M278="","",-$M278*Datos!$C$2)</f>
        <v/>
      </c>
      <c r="Y278" s="61" t="str">
        <f aca="false">IF($M278="","",IFERROR($M278+$U278+$T278+$P278+$Q278+$R278+$S278+$V278+$W278+$X278,"Error"))</f>
        <v/>
      </c>
      <c r="Z278" s="61" t="str">
        <f aca="false">IF($M278="","",IFERROR($Y278-$E278,"Error"))</f>
        <v/>
      </c>
      <c r="AA278" s="60" t="str">
        <f aca="false">IF($M278="","",IFERROR($Z278/($M278+$T278),"Error"))</f>
        <v/>
      </c>
      <c r="AB278" s="62" t="str">
        <f aca="false">IF($M278="","",IFERROR($M278/$E278,"Error"))</f>
        <v/>
      </c>
      <c r="AD278" s="59"/>
      <c r="AE278" s="57"/>
      <c r="AF278" s="58"/>
      <c r="AG278" s="60" t="str">
        <f aca="false">IF(N($AD278)=0,"",IFERROR(($AD278/(1+$L278)-($AD278*$O278+IF($AD278&lt;=15000,1000,IF($AD278&lt;=25000,2000,IF($AD278&lt;=33000,2400,0)))+N($N278))/(1+Datos!$B$2)-$AD278*Datos!$C$2-$C278)/($AD278/(1+$L278)),"Error"))</f>
        <v/>
      </c>
      <c r="AH278" s="61" t="str">
        <f aca="false">IF(N($AD278)=0,"",IFERROR($AD278/(1+$L278)*(1-$AF278)-($AD278*$O278+IF($AD278&lt;=15000,1000,IF($AD278&lt;=25000,2000,IF($AD278&lt;=33000,2400,0)))+N($N278))/(1+Datos!$B$2)-$AD278*Datos!$C$2,"Error"))</f>
        <v/>
      </c>
      <c r="AI278" s="61" t="str">
        <f aca="false">IF($AH278="","",IFERROR($AH278*(1+$D278),"Error"))</f>
        <v/>
      </c>
      <c r="AJ278" s="60" t="str">
        <f aca="false">IF($AH278="","",IFERROR($C278/$AH278-1,"Error"))</f>
        <v/>
      </c>
      <c r="AK278" s="63" t="str">
        <f aca="false">IF($AH278="","",IFERROR(IF($C278&lt;=$AH278,"OK a ese precio","Bajar costo"),"Error"))</f>
        <v/>
      </c>
    </row>
    <row r="279" customFormat="false" ht="15" hidden="false" customHeight="false" outlineLevel="0" collapsed="false">
      <c r="E279" s="0" t="str">
        <f aca="false">IF($C279="","",$C279*(1+$D279))</f>
        <v/>
      </c>
      <c r="J279" s="57"/>
      <c r="K279" s="57"/>
      <c r="L279" s="58"/>
      <c r="M279" s="59"/>
      <c r="N279" s="59"/>
      <c r="O279" s="60" t="str">
        <f aca="false">IF($M279="","",IFERROR(IF($K279="Clásica",VLOOKUP("Argentina"&amp;$J279,Datos!$C:$D,2,0),VLOOKUP("Argentina"&amp;$J279,Datos!$C:$D,2,0)+VLOOKUP("Argentina"&amp;$K279,Datos!$H:$I,2,0)),"Error"))</f>
        <v/>
      </c>
      <c r="P279" s="61" t="str">
        <f aca="false">IF($M279="","",IFERROR(-$M279*$O279,"Error"))</f>
        <v/>
      </c>
      <c r="Q279" s="61" t="str">
        <f aca="false">IF($M279="","",IFERROR(-($P279-$P279/(1+Datos!$B$2)),"Error"))</f>
        <v/>
      </c>
      <c r="R279" s="61" t="str">
        <f aca="false">IF($M279="","",IF($M279&lt;=15000,-1000,IF($M279&lt;=25000,-2000,IF($M279&lt;=33000,-2400,0))))</f>
        <v/>
      </c>
      <c r="S279" s="61" t="str">
        <f aca="false">IF($M279="","",-($R279-$R279/(1+Datos!$B$2)))</f>
        <v/>
      </c>
      <c r="T279" s="61" t="str">
        <f aca="false">IF($M279="","",-$M279/(1+$L279)*$L279)</f>
        <v/>
      </c>
      <c r="U279" s="61" t="str">
        <f aca="false">IF($M279="","",$C279*$D279)</f>
        <v/>
      </c>
      <c r="V279" s="61" t="str">
        <f aca="false">IF($M279="","",-N($N279))</f>
        <v/>
      </c>
      <c r="W279" s="61" t="str">
        <f aca="false">IF($M279="","",-($V279-$V279/(1+Datos!$B$2)))</f>
        <v/>
      </c>
      <c r="X279" s="61" t="str">
        <f aca="false">IF($M279="","",-$M279*Datos!$C$2)</f>
        <v/>
      </c>
      <c r="Y279" s="61" t="str">
        <f aca="false">IF($M279="","",IFERROR($M279+$U279+$T279+$P279+$Q279+$R279+$S279+$V279+$W279+$X279,"Error"))</f>
        <v/>
      </c>
      <c r="Z279" s="61" t="str">
        <f aca="false">IF($M279="","",IFERROR($Y279-$E279,"Error"))</f>
        <v/>
      </c>
      <c r="AA279" s="60" t="str">
        <f aca="false">IF($M279="","",IFERROR($Z279/($M279+$T279),"Error"))</f>
        <v/>
      </c>
      <c r="AB279" s="62" t="str">
        <f aca="false">IF($M279="","",IFERROR($M279/$E279,"Error"))</f>
        <v/>
      </c>
      <c r="AD279" s="59"/>
      <c r="AE279" s="57"/>
      <c r="AF279" s="58"/>
      <c r="AG279" s="60" t="str">
        <f aca="false">IF(N($AD279)=0,"",IFERROR(($AD279/(1+$L279)-($AD279*$O279+IF($AD279&lt;=15000,1000,IF($AD279&lt;=25000,2000,IF($AD279&lt;=33000,2400,0)))+N($N279))/(1+Datos!$B$2)-$AD279*Datos!$C$2-$C279)/($AD279/(1+$L279)),"Error"))</f>
        <v/>
      </c>
      <c r="AH279" s="61" t="str">
        <f aca="false">IF(N($AD279)=0,"",IFERROR($AD279/(1+$L279)*(1-$AF279)-($AD279*$O279+IF($AD279&lt;=15000,1000,IF($AD279&lt;=25000,2000,IF($AD279&lt;=33000,2400,0)))+N($N279))/(1+Datos!$B$2)-$AD279*Datos!$C$2,"Error"))</f>
        <v/>
      </c>
      <c r="AI279" s="61" t="str">
        <f aca="false">IF($AH279="","",IFERROR($AH279*(1+$D279),"Error"))</f>
        <v/>
      </c>
      <c r="AJ279" s="60" t="str">
        <f aca="false">IF($AH279="","",IFERROR($C279/$AH279-1,"Error"))</f>
        <v/>
      </c>
      <c r="AK279" s="63" t="str">
        <f aca="false">IF($AH279="","",IFERROR(IF($C279&lt;=$AH279,"OK a ese precio","Bajar costo"),"Error"))</f>
        <v/>
      </c>
    </row>
    <row r="280" customFormat="false" ht="15" hidden="false" customHeight="false" outlineLevel="0" collapsed="false">
      <c r="E280" s="0" t="str">
        <f aca="false">IF($C280="","",$C280*(1+$D280))</f>
        <v/>
      </c>
      <c r="J280" s="57"/>
      <c r="K280" s="57"/>
      <c r="L280" s="58"/>
      <c r="M280" s="59"/>
      <c r="N280" s="59"/>
      <c r="O280" s="60" t="str">
        <f aca="false">IF($M280="","",IFERROR(IF($K280="Clásica",VLOOKUP("Argentina"&amp;$J280,Datos!$C:$D,2,0),VLOOKUP("Argentina"&amp;$J280,Datos!$C:$D,2,0)+VLOOKUP("Argentina"&amp;$K280,Datos!$H:$I,2,0)),"Error"))</f>
        <v/>
      </c>
      <c r="P280" s="61" t="str">
        <f aca="false">IF($M280="","",IFERROR(-$M280*$O280,"Error"))</f>
        <v/>
      </c>
      <c r="Q280" s="61" t="str">
        <f aca="false">IF($M280="","",IFERROR(-($P280-$P280/(1+Datos!$B$2)),"Error"))</f>
        <v/>
      </c>
      <c r="R280" s="61" t="str">
        <f aca="false">IF($M280="","",IF($M280&lt;=15000,-1000,IF($M280&lt;=25000,-2000,IF($M280&lt;=33000,-2400,0))))</f>
        <v/>
      </c>
      <c r="S280" s="61" t="str">
        <f aca="false">IF($M280="","",-($R280-$R280/(1+Datos!$B$2)))</f>
        <v/>
      </c>
      <c r="T280" s="61" t="str">
        <f aca="false">IF($M280="","",-$M280/(1+$L280)*$L280)</f>
        <v/>
      </c>
      <c r="U280" s="61" t="str">
        <f aca="false">IF($M280="","",$C280*$D280)</f>
        <v/>
      </c>
      <c r="V280" s="61" t="str">
        <f aca="false">IF($M280="","",-N($N280))</f>
        <v/>
      </c>
      <c r="W280" s="61" t="str">
        <f aca="false">IF($M280="","",-($V280-$V280/(1+Datos!$B$2)))</f>
        <v/>
      </c>
      <c r="X280" s="61" t="str">
        <f aca="false">IF($M280="","",-$M280*Datos!$C$2)</f>
        <v/>
      </c>
      <c r="Y280" s="61" t="str">
        <f aca="false">IF($M280="","",IFERROR($M280+$U280+$T280+$P280+$Q280+$R280+$S280+$V280+$W280+$X280,"Error"))</f>
        <v/>
      </c>
      <c r="Z280" s="61" t="str">
        <f aca="false">IF($M280="","",IFERROR($Y280-$E280,"Error"))</f>
        <v/>
      </c>
      <c r="AA280" s="60" t="str">
        <f aca="false">IF($M280="","",IFERROR($Z280/($M280+$T280),"Error"))</f>
        <v/>
      </c>
      <c r="AB280" s="62" t="str">
        <f aca="false">IF($M280="","",IFERROR($M280/$E280,"Error"))</f>
        <v/>
      </c>
      <c r="AD280" s="59"/>
      <c r="AE280" s="57"/>
      <c r="AF280" s="58"/>
      <c r="AG280" s="60" t="str">
        <f aca="false">IF(N($AD280)=0,"",IFERROR(($AD280/(1+$L280)-($AD280*$O280+IF($AD280&lt;=15000,1000,IF($AD280&lt;=25000,2000,IF($AD280&lt;=33000,2400,0)))+N($N280))/(1+Datos!$B$2)-$AD280*Datos!$C$2-$C280)/($AD280/(1+$L280)),"Error"))</f>
        <v/>
      </c>
      <c r="AH280" s="61" t="str">
        <f aca="false">IF(N($AD280)=0,"",IFERROR($AD280/(1+$L280)*(1-$AF280)-($AD280*$O280+IF($AD280&lt;=15000,1000,IF($AD280&lt;=25000,2000,IF($AD280&lt;=33000,2400,0)))+N($N280))/(1+Datos!$B$2)-$AD280*Datos!$C$2,"Error"))</f>
        <v/>
      </c>
      <c r="AI280" s="61" t="str">
        <f aca="false">IF($AH280="","",IFERROR($AH280*(1+$D280),"Error"))</f>
        <v/>
      </c>
      <c r="AJ280" s="60" t="str">
        <f aca="false">IF($AH280="","",IFERROR($C280/$AH280-1,"Error"))</f>
        <v/>
      </c>
      <c r="AK280" s="63" t="str">
        <f aca="false">IF($AH280="","",IFERROR(IF($C280&lt;=$AH280,"OK a ese precio","Bajar costo"),"Error"))</f>
        <v/>
      </c>
    </row>
    <row r="281" customFormat="false" ht="15" hidden="false" customHeight="false" outlineLevel="0" collapsed="false">
      <c r="E281" s="0" t="str">
        <f aca="false">IF($C281="","",$C281*(1+$D281))</f>
        <v/>
      </c>
      <c r="J281" s="57"/>
      <c r="K281" s="57"/>
      <c r="L281" s="58"/>
      <c r="M281" s="59"/>
      <c r="N281" s="59"/>
      <c r="O281" s="60" t="str">
        <f aca="false">IF($M281="","",IFERROR(IF($K281="Clásica",VLOOKUP("Argentina"&amp;$J281,Datos!$C:$D,2,0),VLOOKUP("Argentina"&amp;$J281,Datos!$C:$D,2,0)+VLOOKUP("Argentina"&amp;$K281,Datos!$H:$I,2,0)),"Error"))</f>
        <v/>
      </c>
      <c r="P281" s="61" t="str">
        <f aca="false">IF($M281="","",IFERROR(-$M281*$O281,"Error"))</f>
        <v/>
      </c>
      <c r="Q281" s="61" t="str">
        <f aca="false">IF($M281="","",IFERROR(-($P281-$P281/(1+Datos!$B$2)),"Error"))</f>
        <v/>
      </c>
      <c r="R281" s="61" t="str">
        <f aca="false">IF($M281="","",IF($M281&lt;=15000,-1000,IF($M281&lt;=25000,-2000,IF($M281&lt;=33000,-2400,0))))</f>
        <v/>
      </c>
      <c r="S281" s="61" t="str">
        <f aca="false">IF($M281="","",-($R281-$R281/(1+Datos!$B$2)))</f>
        <v/>
      </c>
      <c r="T281" s="61" t="str">
        <f aca="false">IF($M281="","",-$M281/(1+$L281)*$L281)</f>
        <v/>
      </c>
      <c r="U281" s="61" t="str">
        <f aca="false">IF($M281="","",$C281*$D281)</f>
        <v/>
      </c>
      <c r="V281" s="61" t="str">
        <f aca="false">IF($M281="","",-N($N281))</f>
        <v/>
      </c>
      <c r="W281" s="61" t="str">
        <f aca="false">IF($M281="","",-($V281-$V281/(1+Datos!$B$2)))</f>
        <v/>
      </c>
      <c r="X281" s="61" t="str">
        <f aca="false">IF($M281="","",-$M281*Datos!$C$2)</f>
        <v/>
      </c>
      <c r="Y281" s="61" t="str">
        <f aca="false">IF($M281="","",IFERROR($M281+$U281+$T281+$P281+$Q281+$R281+$S281+$V281+$W281+$X281,"Error"))</f>
        <v/>
      </c>
      <c r="Z281" s="61" t="str">
        <f aca="false">IF($M281="","",IFERROR($Y281-$E281,"Error"))</f>
        <v/>
      </c>
      <c r="AA281" s="60" t="str">
        <f aca="false">IF($M281="","",IFERROR($Z281/($M281+$T281),"Error"))</f>
        <v/>
      </c>
      <c r="AB281" s="62" t="str">
        <f aca="false">IF($M281="","",IFERROR($M281/$E281,"Error"))</f>
        <v/>
      </c>
      <c r="AD281" s="59"/>
      <c r="AE281" s="57"/>
      <c r="AF281" s="58"/>
      <c r="AG281" s="60" t="str">
        <f aca="false">IF(N($AD281)=0,"",IFERROR(($AD281/(1+$L281)-($AD281*$O281+IF($AD281&lt;=15000,1000,IF($AD281&lt;=25000,2000,IF($AD281&lt;=33000,2400,0)))+N($N281))/(1+Datos!$B$2)-$AD281*Datos!$C$2-$C281)/($AD281/(1+$L281)),"Error"))</f>
        <v/>
      </c>
      <c r="AH281" s="61" t="str">
        <f aca="false">IF(N($AD281)=0,"",IFERROR($AD281/(1+$L281)*(1-$AF281)-($AD281*$O281+IF($AD281&lt;=15000,1000,IF($AD281&lt;=25000,2000,IF($AD281&lt;=33000,2400,0)))+N($N281))/(1+Datos!$B$2)-$AD281*Datos!$C$2,"Error"))</f>
        <v/>
      </c>
      <c r="AI281" s="61" t="str">
        <f aca="false">IF($AH281="","",IFERROR($AH281*(1+$D281),"Error"))</f>
        <v/>
      </c>
      <c r="AJ281" s="60" t="str">
        <f aca="false">IF($AH281="","",IFERROR($C281/$AH281-1,"Error"))</f>
        <v/>
      </c>
      <c r="AK281" s="63" t="str">
        <f aca="false">IF($AH281="","",IFERROR(IF($C281&lt;=$AH281,"OK a ese precio","Bajar costo"),"Error"))</f>
        <v/>
      </c>
    </row>
    <row r="282" customFormat="false" ht="15" hidden="false" customHeight="false" outlineLevel="0" collapsed="false">
      <c r="E282" s="0" t="str">
        <f aca="false">IF($C282="","",$C282*(1+$D282))</f>
        <v/>
      </c>
      <c r="J282" s="57"/>
      <c r="K282" s="57"/>
      <c r="L282" s="58"/>
      <c r="M282" s="59"/>
      <c r="N282" s="59"/>
      <c r="O282" s="60" t="str">
        <f aca="false">IF($M282="","",IFERROR(IF($K282="Clásica",VLOOKUP("Argentina"&amp;$J282,Datos!$C:$D,2,0),VLOOKUP("Argentina"&amp;$J282,Datos!$C:$D,2,0)+VLOOKUP("Argentina"&amp;$K282,Datos!$H:$I,2,0)),"Error"))</f>
        <v/>
      </c>
      <c r="P282" s="61" t="str">
        <f aca="false">IF($M282="","",IFERROR(-$M282*$O282,"Error"))</f>
        <v/>
      </c>
      <c r="Q282" s="61" t="str">
        <f aca="false">IF($M282="","",IFERROR(-($P282-$P282/(1+Datos!$B$2)),"Error"))</f>
        <v/>
      </c>
      <c r="R282" s="61" t="str">
        <f aca="false">IF($M282="","",IF($M282&lt;=15000,-1000,IF($M282&lt;=25000,-2000,IF($M282&lt;=33000,-2400,0))))</f>
        <v/>
      </c>
      <c r="S282" s="61" t="str">
        <f aca="false">IF($M282="","",-($R282-$R282/(1+Datos!$B$2)))</f>
        <v/>
      </c>
      <c r="T282" s="61" t="str">
        <f aca="false">IF($M282="","",-$M282/(1+$L282)*$L282)</f>
        <v/>
      </c>
      <c r="U282" s="61" t="str">
        <f aca="false">IF($M282="","",$C282*$D282)</f>
        <v/>
      </c>
      <c r="V282" s="61" t="str">
        <f aca="false">IF($M282="","",-N($N282))</f>
        <v/>
      </c>
      <c r="W282" s="61" t="str">
        <f aca="false">IF($M282="","",-($V282-$V282/(1+Datos!$B$2)))</f>
        <v/>
      </c>
      <c r="X282" s="61" t="str">
        <f aca="false">IF($M282="","",-$M282*Datos!$C$2)</f>
        <v/>
      </c>
      <c r="Y282" s="61" t="str">
        <f aca="false">IF($M282="","",IFERROR($M282+$U282+$T282+$P282+$Q282+$R282+$S282+$V282+$W282+$X282,"Error"))</f>
        <v/>
      </c>
      <c r="Z282" s="61" t="str">
        <f aca="false">IF($M282="","",IFERROR($Y282-$E282,"Error"))</f>
        <v/>
      </c>
      <c r="AA282" s="60" t="str">
        <f aca="false">IF($M282="","",IFERROR($Z282/($M282+$T282),"Error"))</f>
        <v/>
      </c>
      <c r="AB282" s="62" t="str">
        <f aca="false">IF($M282="","",IFERROR($M282/$E282,"Error"))</f>
        <v/>
      </c>
      <c r="AD282" s="59"/>
      <c r="AE282" s="57"/>
      <c r="AF282" s="58"/>
      <c r="AG282" s="60" t="str">
        <f aca="false">IF(N($AD282)=0,"",IFERROR(($AD282/(1+$L282)-($AD282*$O282+IF($AD282&lt;=15000,1000,IF($AD282&lt;=25000,2000,IF($AD282&lt;=33000,2400,0)))+N($N282))/(1+Datos!$B$2)-$AD282*Datos!$C$2-$C282)/($AD282/(1+$L282)),"Error"))</f>
        <v/>
      </c>
      <c r="AH282" s="61" t="str">
        <f aca="false">IF(N($AD282)=0,"",IFERROR($AD282/(1+$L282)*(1-$AF282)-($AD282*$O282+IF($AD282&lt;=15000,1000,IF($AD282&lt;=25000,2000,IF($AD282&lt;=33000,2400,0)))+N($N282))/(1+Datos!$B$2)-$AD282*Datos!$C$2,"Error"))</f>
        <v/>
      </c>
      <c r="AI282" s="61" t="str">
        <f aca="false">IF($AH282="","",IFERROR($AH282*(1+$D282),"Error"))</f>
        <v/>
      </c>
      <c r="AJ282" s="60" t="str">
        <f aca="false">IF($AH282="","",IFERROR($C282/$AH282-1,"Error"))</f>
        <v/>
      </c>
      <c r="AK282" s="63" t="str">
        <f aca="false">IF($AH282="","",IFERROR(IF($C282&lt;=$AH282,"OK a ese precio","Bajar costo"),"Error"))</f>
        <v/>
      </c>
    </row>
    <row r="283" customFormat="false" ht="15" hidden="false" customHeight="false" outlineLevel="0" collapsed="false">
      <c r="E283" s="0" t="str">
        <f aca="false">IF($C283="","",$C283*(1+$D283))</f>
        <v/>
      </c>
      <c r="J283" s="57"/>
      <c r="K283" s="57"/>
      <c r="L283" s="58"/>
      <c r="M283" s="59"/>
      <c r="N283" s="59"/>
      <c r="O283" s="60" t="str">
        <f aca="false">IF($M283="","",IFERROR(IF($K283="Clásica",VLOOKUP("Argentina"&amp;$J283,Datos!$C:$D,2,0),VLOOKUP("Argentina"&amp;$J283,Datos!$C:$D,2,0)+VLOOKUP("Argentina"&amp;$K283,Datos!$H:$I,2,0)),"Error"))</f>
        <v/>
      </c>
      <c r="P283" s="61" t="str">
        <f aca="false">IF($M283="","",IFERROR(-$M283*$O283,"Error"))</f>
        <v/>
      </c>
      <c r="Q283" s="61" t="str">
        <f aca="false">IF($M283="","",IFERROR(-($P283-$P283/(1+Datos!$B$2)),"Error"))</f>
        <v/>
      </c>
      <c r="R283" s="61" t="str">
        <f aca="false">IF($M283="","",IF($M283&lt;=15000,-1000,IF($M283&lt;=25000,-2000,IF($M283&lt;=33000,-2400,0))))</f>
        <v/>
      </c>
      <c r="S283" s="61" t="str">
        <f aca="false">IF($M283="","",-($R283-$R283/(1+Datos!$B$2)))</f>
        <v/>
      </c>
      <c r="T283" s="61" t="str">
        <f aca="false">IF($M283="","",-$M283/(1+$L283)*$L283)</f>
        <v/>
      </c>
      <c r="U283" s="61" t="str">
        <f aca="false">IF($M283="","",$C283*$D283)</f>
        <v/>
      </c>
      <c r="V283" s="61" t="str">
        <f aca="false">IF($M283="","",-N($N283))</f>
        <v/>
      </c>
      <c r="W283" s="61" t="str">
        <f aca="false">IF($M283="","",-($V283-$V283/(1+Datos!$B$2)))</f>
        <v/>
      </c>
      <c r="X283" s="61" t="str">
        <f aca="false">IF($M283="","",-$M283*Datos!$C$2)</f>
        <v/>
      </c>
      <c r="Y283" s="61" t="str">
        <f aca="false">IF($M283="","",IFERROR($M283+$U283+$T283+$P283+$Q283+$R283+$S283+$V283+$W283+$X283,"Error"))</f>
        <v/>
      </c>
      <c r="Z283" s="61" t="str">
        <f aca="false">IF($M283="","",IFERROR($Y283-$E283,"Error"))</f>
        <v/>
      </c>
      <c r="AA283" s="60" t="str">
        <f aca="false">IF($M283="","",IFERROR($Z283/($M283+$T283),"Error"))</f>
        <v/>
      </c>
      <c r="AB283" s="62" t="str">
        <f aca="false">IF($M283="","",IFERROR($M283/$E283,"Error"))</f>
        <v/>
      </c>
      <c r="AD283" s="59"/>
      <c r="AE283" s="57"/>
      <c r="AF283" s="58"/>
      <c r="AG283" s="60" t="str">
        <f aca="false">IF(N($AD283)=0,"",IFERROR(($AD283/(1+$L283)-($AD283*$O283+IF($AD283&lt;=15000,1000,IF($AD283&lt;=25000,2000,IF($AD283&lt;=33000,2400,0)))+N($N283))/(1+Datos!$B$2)-$AD283*Datos!$C$2-$C283)/($AD283/(1+$L283)),"Error"))</f>
        <v/>
      </c>
      <c r="AH283" s="61" t="str">
        <f aca="false">IF(N($AD283)=0,"",IFERROR($AD283/(1+$L283)*(1-$AF283)-($AD283*$O283+IF($AD283&lt;=15000,1000,IF($AD283&lt;=25000,2000,IF($AD283&lt;=33000,2400,0)))+N($N283))/(1+Datos!$B$2)-$AD283*Datos!$C$2,"Error"))</f>
        <v/>
      </c>
      <c r="AI283" s="61" t="str">
        <f aca="false">IF($AH283="","",IFERROR($AH283*(1+$D283),"Error"))</f>
        <v/>
      </c>
      <c r="AJ283" s="60" t="str">
        <f aca="false">IF($AH283="","",IFERROR($C283/$AH283-1,"Error"))</f>
        <v/>
      </c>
      <c r="AK283" s="63" t="str">
        <f aca="false">IF($AH283="","",IFERROR(IF($C283&lt;=$AH283,"OK a ese precio","Bajar costo"),"Error"))</f>
        <v/>
      </c>
    </row>
    <row r="284" customFormat="false" ht="15" hidden="false" customHeight="false" outlineLevel="0" collapsed="false">
      <c r="E284" s="0" t="str">
        <f aca="false">IF($C284="","",$C284*(1+$D284))</f>
        <v/>
      </c>
      <c r="J284" s="57"/>
      <c r="K284" s="57"/>
      <c r="L284" s="58"/>
      <c r="M284" s="59"/>
      <c r="N284" s="59"/>
      <c r="O284" s="60" t="str">
        <f aca="false">IF($M284="","",IFERROR(IF($K284="Clásica",VLOOKUP("Argentina"&amp;$J284,Datos!$C:$D,2,0),VLOOKUP("Argentina"&amp;$J284,Datos!$C:$D,2,0)+VLOOKUP("Argentina"&amp;$K284,Datos!$H:$I,2,0)),"Error"))</f>
        <v/>
      </c>
      <c r="P284" s="61" t="str">
        <f aca="false">IF($M284="","",IFERROR(-$M284*$O284,"Error"))</f>
        <v/>
      </c>
      <c r="Q284" s="61" t="str">
        <f aca="false">IF($M284="","",IFERROR(-($P284-$P284/(1+Datos!$B$2)),"Error"))</f>
        <v/>
      </c>
      <c r="R284" s="61" t="str">
        <f aca="false">IF($M284="","",IF($M284&lt;=15000,-1000,IF($M284&lt;=25000,-2000,IF($M284&lt;=33000,-2400,0))))</f>
        <v/>
      </c>
      <c r="S284" s="61" t="str">
        <f aca="false">IF($M284="","",-($R284-$R284/(1+Datos!$B$2)))</f>
        <v/>
      </c>
      <c r="T284" s="61" t="str">
        <f aca="false">IF($M284="","",-$M284/(1+$L284)*$L284)</f>
        <v/>
      </c>
      <c r="U284" s="61" t="str">
        <f aca="false">IF($M284="","",$C284*$D284)</f>
        <v/>
      </c>
      <c r="V284" s="61" t="str">
        <f aca="false">IF($M284="","",-N($N284))</f>
        <v/>
      </c>
      <c r="W284" s="61" t="str">
        <f aca="false">IF($M284="","",-($V284-$V284/(1+Datos!$B$2)))</f>
        <v/>
      </c>
      <c r="X284" s="61" t="str">
        <f aca="false">IF($M284="","",-$M284*Datos!$C$2)</f>
        <v/>
      </c>
      <c r="Y284" s="61" t="str">
        <f aca="false">IF($M284="","",IFERROR($M284+$U284+$T284+$P284+$Q284+$R284+$S284+$V284+$W284+$X284,"Error"))</f>
        <v/>
      </c>
      <c r="Z284" s="61" t="str">
        <f aca="false">IF($M284="","",IFERROR($Y284-$E284,"Error"))</f>
        <v/>
      </c>
      <c r="AA284" s="60" t="str">
        <f aca="false">IF($M284="","",IFERROR($Z284/($M284+$T284),"Error"))</f>
        <v/>
      </c>
      <c r="AB284" s="62" t="str">
        <f aca="false">IF($M284="","",IFERROR($M284/$E284,"Error"))</f>
        <v/>
      </c>
      <c r="AD284" s="59"/>
      <c r="AE284" s="57"/>
      <c r="AF284" s="58"/>
      <c r="AG284" s="60" t="str">
        <f aca="false">IF(N($AD284)=0,"",IFERROR(($AD284/(1+$L284)-($AD284*$O284+IF($AD284&lt;=15000,1000,IF($AD284&lt;=25000,2000,IF($AD284&lt;=33000,2400,0)))+N($N284))/(1+Datos!$B$2)-$AD284*Datos!$C$2-$C284)/($AD284/(1+$L284)),"Error"))</f>
        <v/>
      </c>
      <c r="AH284" s="61" t="str">
        <f aca="false">IF(N($AD284)=0,"",IFERROR($AD284/(1+$L284)*(1-$AF284)-($AD284*$O284+IF($AD284&lt;=15000,1000,IF($AD284&lt;=25000,2000,IF($AD284&lt;=33000,2400,0)))+N($N284))/(1+Datos!$B$2)-$AD284*Datos!$C$2,"Error"))</f>
        <v/>
      </c>
      <c r="AI284" s="61" t="str">
        <f aca="false">IF($AH284="","",IFERROR($AH284*(1+$D284),"Error"))</f>
        <v/>
      </c>
      <c r="AJ284" s="60" t="str">
        <f aca="false">IF($AH284="","",IFERROR($C284/$AH284-1,"Error"))</f>
        <v/>
      </c>
      <c r="AK284" s="63" t="str">
        <f aca="false">IF($AH284="","",IFERROR(IF($C284&lt;=$AH284,"OK a ese precio","Bajar costo"),"Error"))</f>
        <v/>
      </c>
    </row>
    <row r="285" customFormat="false" ht="15" hidden="false" customHeight="false" outlineLevel="0" collapsed="false">
      <c r="E285" s="0" t="str">
        <f aca="false">IF($C285="","",$C285*(1+$D285))</f>
        <v/>
      </c>
      <c r="J285" s="57"/>
      <c r="K285" s="57"/>
      <c r="L285" s="58"/>
      <c r="M285" s="59"/>
      <c r="N285" s="59"/>
      <c r="O285" s="60" t="str">
        <f aca="false">IF($M285="","",IFERROR(IF($K285="Clásica",VLOOKUP("Argentina"&amp;$J285,Datos!$C:$D,2,0),VLOOKUP("Argentina"&amp;$J285,Datos!$C:$D,2,0)+VLOOKUP("Argentina"&amp;$K285,Datos!$H:$I,2,0)),"Error"))</f>
        <v/>
      </c>
      <c r="P285" s="61" t="str">
        <f aca="false">IF($M285="","",IFERROR(-$M285*$O285,"Error"))</f>
        <v/>
      </c>
      <c r="Q285" s="61" t="str">
        <f aca="false">IF($M285="","",IFERROR(-($P285-$P285/(1+Datos!$B$2)),"Error"))</f>
        <v/>
      </c>
      <c r="R285" s="61" t="str">
        <f aca="false">IF($M285="","",IF($M285&lt;=15000,-1000,IF($M285&lt;=25000,-2000,IF($M285&lt;=33000,-2400,0))))</f>
        <v/>
      </c>
      <c r="S285" s="61" t="str">
        <f aca="false">IF($M285="","",-($R285-$R285/(1+Datos!$B$2)))</f>
        <v/>
      </c>
      <c r="T285" s="61" t="str">
        <f aca="false">IF($M285="","",-$M285/(1+$L285)*$L285)</f>
        <v/>
      </c>
      <c r="U285" s="61" t="str">
        <f aca="false">IF($M285="","",$C285*$D285)</f>
        <v/>
      </c>
      <c r="V285" s="61" t="str">
        <f aca="false">IF($M285="","",-N($N285))</f>
        <v/>
      </c>
      <c r="W285" s="61" t="str">
        <f aca="false">IF($M285="","",-($V285-$V285/(1+Datos!$B$2)))</f>
        <v/>
      </c>
      <c r="X285" s="61" t="str">
        <f aca="false">IF($M285="","",-$M285*Datos!$C$2)</f>
        <v/>
      </c>
      <c r="Y285" s="61" t="str">
        <f aca="false">IF($M285="","",IFERROR($M285+$U285+$T285+$P285+$Q285+$R285+$S285+$V285+$W285+$X285,"Error"))</f>
        <v/>
      </c>
      <c r="Z285" s="61" t="str">
        <f aca="false">IF($M285="","",IFERROR($Y285-$E285,"Error"))</f>
        <v/>
      </c>
      <c r="AA285" s="60" t="str">
        <f aca="false">IF($M285="","",IFERROR($Z285/($M285+$T285),"Error"))</f>
        <v/>
      </c>
      <c r="AB285" s="62" t="str">
        <f aca="false">IF($M285="","",IFERROR($M285/$E285,"Error"))</f>
        <v/>
      </c>
      <c r="AD285" s="59"/>
      <c r="AE285" s="57"/>
      <c r="AF285" s="58"/>
      <c r="AG285" s="60" t="str">
        <f aca="false">IF(N($AD285)=0,"",IFERROR(($AD285/(1+$L285)-($AD285*$O285+IF($AD285&lt;=15000,1000,IF($AD285&lt;=25000,2000,IF($AD285&lt;=33000,2400,0)))+N($N285))/(1+Datos!$B$2)-$AD285*Datos!$C$2-$C285)/($AD285/(1+$L285)),"Error"))</f>
        <v/>
      </c>
      <c r="AH285" s="61" t="str">
        <f aca="false">IF(N($AD285)=0,"",IFERROR($AD285/(1+$L285)*(1-$AF285)-($AD285*$O285+IF($AD285&lt;=15000,1000,IF($AD285&lt;=25000,2000,IF($AD285&lt;=33000,2400,0)))+N($N285))/(1+Datos!$B$2)-$AD285*Datos!$C$2,"Error"))</f>
        <v/>
      </c>
      <c r="AI285" s="61" t="str">
        <f aca="false">IF($AH285="","",IFERROR($AH285*(1+$D285),"Error"))</f>
        <v/>
      </c>
      <c r="AJ285" s="60" t="str">
        <f aca="false">IF($AH285="","",IFERROR($C285/$AH285-1,"Error"))</f>
        <v/>
      </c>
      <c r="AK285" s="63" t="str">
        <f aca="false">IF($AH285="","",IFERROR(IF($C285&lt;=$AH285,"OK a ese precio","Bajar costo"),"Error"))</f>
        <v/>
      </c>
    </row>
    <row r="286" customFormat="false" ht="15" hidden="false" customHeight="false" outlineLevel="0" collapsed="false">
      <c r="E286" s="0" t="str">
        <f aca="false">IF($C286="","",$C286*(1+$D286))</f>
        <v/>
      </c>
      <c r="J286" s="57"/>
      <c r="K286" s="57"/>
      <c r="L286" s="58"/>
      <c r="M286" s="59"/>
      <c r="N286" s="59"/>
      <c r="O286" s="60" t="str">
        <f aca="false">IF($M286="","",IFERROR(IF($K286="Clásica",VLOOKUP("Argentina"&amp;$J286,Datos!$C:$D,2,0),VLOOKUP("Argentina"&amp;$J286,Datos!$C:$D,2,0)+VLOOKUP("Argentina"&amp;$K286,Datos!$H:$I,2,0)),"Error"))</f>
        <v/>
      </c>
      <c r="P286" s="61" t="str">
        <f aca="false">IF($M286="","",IFERROR(-$M286*$O286,"Error"))</f>
        <v/>
      </c>
      <c r="Q286" s="61" t="str">
        <f aca="false">IF($M286="","",IFERROR(-($P286-$P286/(1+Datos!$B$2)),"Error"))</f>
        <v/>
      </c>
      <c r="R286" s="61" t="str">
        <f aca="false">IF($M286="","",IF($M286&lt;=15000,-1000,IF($M286&lt;=25000,-2000,IF($M286&lt;=33000,-2400,0))))</f>
        <v/>
      </c>
      <c r="S286" s="61" t="str">
        <f aca="false">IF($M286="","",-($R286-$R286/(1+Datos!$B$2)))</f>
        <v/>
      </c>
      <c r="T286" s="61" t="str">
        <f aca="false">IF($M286="","",-$M286/(1+$L286)*$L286)</f>
        <v/>
      </c>
      <c r="U286" s="61" t="str">
        <f aca="false">IF($M286="","",$C286*$D286)</f>
        <v/>
      </c>
      <c r="V286" s="61" t="str">
        <f aca="false">IF($M286="","",-N($N286))</f>
        <v/>
      </c>
      <c r="W286" s="61" t="str">
        <f aca="false">IF($M286="","",-($V286-$V286/(1+Datos!$B$2)))</f>
        <v/>
      </c>
      <c r="X286" s="61" t="str">
        <f aca="false">IF($M286="","",-$M286*Datos!$C$2)</f>
        <v/>
      </c>
      <c r="Y286" s="61" t="str">
        <f aca="false">IF($M286="","",IFERROR($M286+$U286+$T286+$P286+$Q286+$R286+$S286+$V286+$W286+$X286,"Error"))</f>
        <v/>
      </c>
      <c r="Z286" s="61" t="str">
        <f aca="false">IF($M286="","",IFERROR($Y286-$E286,"Error"))</f>
        <v/>
      </c>
      <c r="AA286" s="60" t="str">
        <f aca="false">IF($M286="","",IFERROR($Z286/($M286+$T286),"Error"))</f>
        <v/>
      </c>
      <c r="AB286" s="62" t="str">
        <f aca="false">IF($M286="","",IFERROR($M286/$E286,"Error"))</f>
        <v/>
      </c>
      <c r="AD286" s="59"/>
      <c r="AE286" s="57"/>
      <c r="AF286" s="58"/>
      <c r="AG286" s="60" t="str">
        <f aca="false">IF(N($AD286)=0,"",IFERROR(($AD286/(1+$L286)-($AD286*$O286+IF($AD286&lt;=15000,1000,IF($AD286&lt;=25000,2000,IF($AD286&lt;=33000,2400,0)))+N($N286))/(1+Datos!$B$2)-$AD286*Datos!$C$2-$C286)/($AD286/(1+$L286)),"Error"))</f>
        <v/>
      </c>
      <c r="AH286" s="61" t="str">
        <f aca="false">IF(N($AD286)=0,"",IFERROR($AD286/(1+$L286)*(1-$AF286)-($AD286*$O286+IF($AD286&lt;=15000,1000,IF($AD286&lt;=25000,2000,IF($AD286&lt;=33000,2400,0)))+N($N286))/(1+Datos!$B$2)-$AD286*Datos!$C$2,"Error"))</f>
        <v/>
      </c>
      <c r="AI286" s="61" t="str">
        <f aca="false">IF($AH286="","",IFERROR($AH286*(1+$D286),"Error"))</f>
        <v/>
      </c>
      <c r="AJ286" s="60" t="str">
        <f aca="false">IF($AH286="","",IFERROR($C286/$AH286-1,"Error"))</f>
        <v/>
      </c>
      <c r="AK286" s="63" t="str">
        <f aca="false">IF($AH286="","",IFERROR(IF($C286&lt;=$AH286,"OK a ese precio","Bajar costo"),"Error"))</f>
        <v/>
      </c>
    </row>
    <row r="287" customFormat="false" ht="15" hidden="false" customHeight="false" outlineLevel="0" collapsed="false">
      <c r="E287" s="0" t="str">
        <f aca="false">IF($C287="","",$C287*(1+$D287))</f>
        <v/>
      </c>
      <c r="J287" s="57"/>
      <c r="K287" s="57"/>
      <c r="L287" s="58"/>
      <c r="M287" s="59"/>
      <c r="N287" s="59"/>
      <c r="O287" s="60" t="str">
        <f aca="false">IF($M287="","",IFERROR(IF($K287="Clásica",VLOOKUP("Argentina"&amp;$J287,Datos!$C:$D,2,0),VLOOKUP("Argentina"&amp;$J287,Datos!$C:$D,2,0)+VLOOKUP("Argentina"&amp;$K287,Datos!$H:$I,2,0)),"Error"))</f>
        <v/>
      </c>
      <c r="P287" s="61" t="str">
        <f aca="false">IF($M287="","",IFERROR(-$M287*$O287,"Error"))</f>
        <v/>
      </c>
      <c r="Q287" s="61" t="str">
        <f aca="false">IF($M287="","",IFERROR(-($P287-$P287/(1+Datos!$B$2)),"Error"))</f>
        <v/>
      </c>
      <c r="R287" s="61" t="str">
        <f aca="false">IF($M287="","",IF($M287&lt;=15000,-1000,IF($M287&lt;=25000,-2000,IF($M287&lt;=33000,-2400,0))))</f>
        <v/>
      </c>
      <c r="S287" s="61" t="str">
        <f aca="false">IF($M287="","",-($R287-$R287/(1+Datos!$B$2)))</f>
        <v/>
      </c>
      <c r="T287" s="61" t="str">
        <f aca="false">IF($M287="","",-$M287/(1+$L287)*$L287)</f>
        <v/>
      </c>
      <c r="U287" s="61" t="str">
        <f aca="false">IF($M287="","",$C287*$D287)</f>
        <v/>
      </c>
      <c r="V287" s="61" t="str">
        <f aca="false">IF($M287="","",-N($N287))</f>
        <v/>
      </c>
      <c r="W287" s="61" t="str">
        <f aca="false">IF($M287="","",-($V287-$V287/(1+Datos!$B$2)))</f>
        <v/>
      </c>
      <c r="X287" s="61" t="str">
        <f aca="false">IF($M287="","",-$M287*Datos!$C$2)</f>
        <v/>
      </c>
      <c r="Y287" s="61" t="str">
        <f aca="false">IF($M287="","",IFERROR($M287+$U287+$T287+$P287+$Q287+$R287+$S287+$V287+$W287+$X287,"Error"))</f>
        <v/>
      </c>
      <c r="Z287" s="61" t="str">
        <f aca="false">IF($M287="","",IFERROR($Y287-$E287,"Error"))</f>
        <v/>
      </c>
      <c r="AA287" s="60" t="str">
        <f aca="false">IF($M287="","",IFERROR($Z287/($M287+$T287),"Error"))</f>
        <v/>
      </c>
      <c r="AB287" s="62" t="str">
        <f aca="false">IF($M287="","",IFERROR($M287/$E287,"Error"))</f>
        <v/>
      </c>
      <c r="AD287" s="59"/>
      <c r="AE287" s="57"/>
      <c r="AF287" s="58"/>
      <c r="AG287" s="60" t="str">
        <f aca="false">IF(N($AD287)=0,"",IFERROR(($AD287/(1+$L287)-($AD287*$O287+IF($AD287&lt;=15000,1000,IF($AD287&lt;=25000,2000,IF($AD287&lt;=33000,2400,0)))+N($N287))/(1+Datos!$B$2)-$AD287*Datos!$C$2-$C287)/($AD287/(1+$L287)),"Error"))</f>
        <v/>
      </c>
      <c r="AH287" s="61" t="str">
        <f aca="false">IF(N($AD287)=0,"",IFERROR($AD287/(1+$L287)*(1-$AF287)-($AD287*$O287+IF($AD287&lt;=15000,1000,IF($AD287&lt;=25000,2000,IF($AD287&lt;=33000,2400,0)))+N($N287))/(1+Datos!$B$2)-$AD287*Datos!$C$2,"Error"))</f>
        <v/>
      </c>
      <c r="AI287" s="61" t="str">
        <f aca="false">IF($AH287="","",IFERROR($AH287*(1+$D287),"Error"))</f>
        <v/>
      </c>
      <c r="AJ287" s="60" t="str">
        <f aca="false">IF($AH287="","",IFERROR($C287/$AH287-1,"Error"))</f>
        <v/>
      </c>
      <c r="AK287" s="63" t="str">
        <f aca="false">IF($AH287="","",IFERROR(IF($C287&lt;=$AH287,"OK a ese precio","Bajar costo"),"Error"))</f>
        <v/>
      </c>
    </row>
    <row r="288" customFormat="false" ht="15" hidden="false" customHeight="false" outlineLevel="0" collapsed="false">
      <c r="E288" s="0" t="str">
        <f aca="false">IF($C288="","",$C288*(1+$D288))</f>
        <v/>
      </c>
      <c r="J288" s="57"/>
      <c r="K288" s="57"/>
      <c r="L288" s="58"/>
      <c r="M288" s="59"/>
      <c r="N288" s="59"/>
      <c r="O288" s="60" t="str">
        <f aca="false">IF($M288="","",IFERROR(IF($K288="Clásica",VLOOKUP("Argentina"&amp;$J288,Datos!$C:$D,2,0),VLOOKUP("Argentina"&amp;$J288,Datos!$C:$D,2,0)+VLOOKUP("Argentina"&amp;$K288,Datos!$H:$I,2,0)),"Error"))</f>
        <v/>
      </c>
      <c r="P288" s="61" t="str">
        <f aca="false">IF($M288="","",IFERROR(-$M288*$O288,"Error"))</f>
        <v/>
      </c>
      <c r="Q288" s="61" t="str">
        <f aca="false">IF($M288="","",IFERROR(-($P288-$P288/(1+Datos!$B$2)),"Error"))</f>
        <v/>
      </c>
      <c r="R288" s="61" t="str">
        <f aca="false">IF($M288="","",IF($M288&lt;=15000,-1000,IF($M288&lt;=25000,-2000,IF($M288&lt;=33000,-2400,0))))</f>
        <v/>
      </c>
      <c r="S288" s="61" t="str">
        <f aca="false">IF($M288="","",-($R288-$R288/(1+Datos!$B$2)))</f>
        <v/>
      </c>
      <c r="T288" s="61" t="str">
        <f aca="false">IF($M288="","",-$M288/(1+$L288)*$L288)</f>
        <v/>
      </c>
      <c r="U288" s="61" t="str">
        <f aca="false">IF($M288="","",$C288*$D288)</f>
        <v/>
      </c>
      <c r="V288" s="61" t="str">
        <f aca="false">IF($M288="","",-N($N288))</f>
        <v/>
      </c>
      <c r="W288" s="61" t="str">
        <f aca="false">IF($M288="","",-($V288-$V288/(1+Datos!$B$2)))</f>
        <v/>
      </c>
      <c r="X288" s="61" t="str">
        <f aca="false">IF($M288="","",-$M288*Datos!$C$2)</f>
        <v/>
      </c>
      <c r="Y288" s="61" t="str">
        <f aca="false">IF($M288="","",IFERROR($M288+$U288+$T288+$P288+$Q288+$R288+$S288+$V288+$W288+$X288,"Error"))</f>
        <v/>
      </c>
      <c r="Z288" s="61" t="str">
        <f aca="false">IF($M288="","",IFERROR($Y288-$E288,"Error"))</f>
        <v/>
      </c>
      <c r="AA288" s="60" t="str">
        <f aca="false">IF($M288="","",IFERROR($Z288/($M288+$T288),"Error"))</f>
        <v/>
      </c>
      <c r="AB288" s="62" t="str">
        <f aca="false">IF($M288="","",IFERROR($M288/$E288,"Error"))</f>
        <v/>
      </c>
      <c r="AD288" s="59"/>
      <c r="AE288" s="57"/>
      <c r="AF288" s="58"/>
      <c r="AG288" s="60" t="str">
        <f aca="false">IF(N($AD288)=0,"",IFERROR(($AD288/(1+$L288)-($AD288*$O288+IF($AD288&lt;=15000,1000,IF($AD288&lt;=25000,2000,IF($AD288&lt;=33000,2400,0)))+N($N288))/(1+Datos!$B$2)-$AD288*Datos!$C$2-$C288)/($AD288/(1+$L288)),"Error"))</f>
        <v/>
      </c>
      <c r="AH288" s="61" t="str">
        <f aca="false">IF(N($AD288)=0,"",IFERROR($AD288/(1+$L288)*(1-$AF288)-($AD288*$O288+IF($AD288&lt;=15000,1000,IF($AD288&lt;=25000,2000,IF($AD288&lt;=33000,2400,0)))+N($N288))/(1+Datos!$B$2)-$AD288*Datos!$C$2,"Error"))</f>
        <v/>
      </c>
      <c r="AI288" s="61" t="str">
        <f aca="false">IF($AH288="","",IFERROR($AH288*(1+$D288),"Error"))</f>
        <v/>
      </c>
      <c r="AJ288" s="60" t="str">
        <f aca="false">IF($AH288="","",IFERROR($C288/$AH288-1,"Error"))</f>
        <v/>
      </c>
      <c r="AK288" s="63" t="str">
        <f aca="false">IF($AH288="","",IFERROR(IF($C288&lt;=$AH288,"OK a ese precio","Bajar costo"),"Error"))</f>
        <v/>
      </c>
    </row>
    <row r="289" customFormat="false" ht="15" hidden="false" customHeight="false" outlineLevel="0" collapsed="false">
      <c r="E289" s="0" t="str">
        <f aca="false">IF($C289="","",$C289*(1+$D289))</f>
        <v/>
      </c>
      <c r="J289" s="57"/>
      <c r="K289" s="57"/>
      <c r="L289" s="58"/>
      <c r="M289" s="59"/>
      <c r="N289" s="59"/>
      <c r="O289" s="60" t="str">
        <f aca="false">IF($M289="","",IFERROR(IF($K289="Clásica",VLOOKUP("Argentina"&amp;$J289,Datos!$C:$D,2,0),VLOOKUP("Argentina"&amp;$J289,Datos!$C:$D,2,0)+VLOOKUP("Argentina"&amp;$K289,Datos!$H:$I,2,0)),"Error"))</f>
        <v/>
      </c>
      <c r="P289" s="61" t="str">
        <f aca="false">IF($M289="","",IFERROR(-$M289*$O289,"Error"))</f>
        <v/>
      </c>
      <c r="Q289" s="61" t="str">
        <f aca="false">IF($M289="","",IFERROR(-($P289-$P289/(1+Datos!$B$2)),"Error"))</f>
        <v/>
      </c>
      <c r="R289" s="61" t="str">
        <f aca="false">IF($M289="","",IF($M289&lt;=15000,-1000,IF($M289&lt;=25000,-2000,IF($M289&lt;=33000,-2400,0))))</f>
        <v/>
      </c>
      <c r="S289" s="61" t="str">
        <f aca="false">IF($M289="","",-($R289-$R289/(1+Datos!$B$2)))</f>
        <v/>
      </c>
      <c r="T289" s="61" t="str">
        <f aca="false">IF($M289="","",-$M289/(1+$L289)*$L289)</f>
        <v/>
      </c>
      <c r="U289" s="61" t="str">
        <f aca="false">IF($M289="","",$C289*$D289)</f>
        <v/>
      </c>
      <c r="V289" s="61" t="str">
        <f aca="false">IF($M289="","",-N($N289))</f>
        <v/>
      </c>
      <c r="W289" s="61" t="str">
        <f aca="false">IF($M289="","",-($V289-$V289/(1+Datos!$B$2)))</f>
        <v/>
      </c>
      <c r="X289" s="61" t="str">
        <f aca="false">IF($M289="","",-$M289*Datos!$C$2)</f>
        <v/>
      </c>
      <c r="Y289" s="61" t="str">
        <f aca="false">IF($M289="","",IFERROR($M289+$U289+$T289+$P289+$Q289+$R289+$S289+$V289+$W289+$X289,"Error"))</f>
        <v/>
      </c>
      <c r="Z289" s="61" t="str">
        <f aca="false">IF($M289="","",IFERROR($Y289-$E289,"Error"))</f>
        <v/>
      </c>
      <c r="AA289" s="60" t="str">
        <f aca="false">IF($M289="","",IFERROR($Z289/($M289+$T289),"Error"))</f>
        <v/>
      </c>
      <c r="AB289" s="62" t="str">
        <f aca="false">IF($M289="","",IFERROR($M289/$E289,"Error"))</f>
        <v/>
      </c>
      <c r="AD289" s="59"/>
      <c r="AE289" s="57"/>
      <c r="AF289" s="58"/>
      <c r="AG289" s="60" t="str">
        <f aca="false">IF(N($AD289)=0,"",IFERROR(($AD289/(1+$L289)-($AD289*$O289+IF($AD289&lt;=15000,1000,IF($AD289&lt;=25000,2000,IF($AD289&lt;=33000,2400,0)))+N($N289))/(1+Datos!$B$2)-$AD289*Datos!$C$2-$C289)/($AD289/(1+$L289)),"Error"))</f>
        <v/>
      </c>
      <c r="AH289" s="61" t="str">
        <f aca="false">IF(N($AD289)=0,"",IFERROR($AD289/(1+$L289)*(1-$AF289)-($AD289*$O289+IF($AD289&lt;=15000,1000,IF($AD289&lt;=25000,2000,IF($AD289&lt;=33000,2400,0)))+N($N289))/(1+Datos!$B$2)-$AD289*Datos!$C$2,"Error"))</f>
        <v/>
      </c>
      <c r="AI289" s="61" t="str">
        <f aca="false">IF($AH289="","",IFERROR($AH289*(1+$D289),"Error"))</f>
        <v/>
      </c>
      <c r="AJ289" s="60" t="str">
        <f aca="false">IF($AH289="","",IFERROR($C289/$AH289-1,"Error"))</f>
        <v/>
      </c>
      <c r="AK289" s="63" t="str">
        <f aca="false">IF($AH289="","",IFERROR(IF($C289&lt;=$AH289,"OK a ese precio","Bajar costo"),"Error"))</f>
        <v/>
      </c>
    </row>
    <row r="290" customFormat="false" ht="15" hidden="false" customHeight="false" outlineLevel="0" collapsed="false">
      <c r="E290" s="0" t="str">
        <f aca="false">IF($C290="","",$C290*(1+$D290))</f>
        <v/>
      </c>
      <c r="J290" s="57"/>
      <c r="K290" s="57"/>
      <c r="L290" s="58"/>
      <c r="M290" s="59"/>
      <c r="N290" s="59"/>
      <c r="O290" s="60" t="str">
        <f aca="false">IF($M290="","",IFERROR(IF($K290="Clásica",VLOOKUP("Argentina"&amp;$J290,Datos!$C:$D,2,0),VLOOKUP("Argentina"&amp;$J290,Datos!$C:$D,2,0)+VLOOKUP("Argentina"&amp;$K290,Datos!$H:$I,2,0)),"Error"))</f>
        <v/>
      </c>
      <c r="P290" s="61" t="str">
        <f aca="false">IF($M290="","",IFERROR(-$M290*$O290,"Error"))</f>
        <v/>
      </c>
      <c r="Q290" s="61" t="str">
        <f aca="false">IF($M290="","",IFERROR(-($P290-$P290/(1+Datos!$B$2)),"Error"))</f>
        <v/>
      </c>
      <c r="R290" s="61" t="str">
        <f aca="false">IF($M290="","",IF($M290&lt;=15000,-1000,IF($M290&lt;=25000,-2000,IF($M290&lt;=33000,-2400,0))))</f>
        <v/>
      </c>
      <c r="S290" s="61" t="str">
        <f aca="false">IF($M290="","",-($R290-$R290/(1+Datos!$B$2)))</f>
        <v/>
      </c>
      <c r="T290" s="61" t="str">
        <f aca="false">IF($M290="","",-$M290/(1+$L290)*$L290)</f>
        <v/>
      </c>
      <c r="U290" s="61" t="str">
        <f aca="false">IF($M290="","",$C290*$D290)</f>
        <v/>
      </c>
      <c r="V290" s="61" t="str">
        <f aca="false">IF($M290="","",-N($N290))</f>
        <v/>
      </c>
      <c r="W290" s="61" t="str">
        <f aca="false">IF($M290="","",-($V290-$V290/(1+Datos!$B$2)))</f>
        <v/>
      </c>
      <c r="X290" s="61" t="str">
        <f aca="false">IF($M290="","",-$M290*Datos!$C$2)</f>
        <v/>
      </c>
      <c r="Y290" s="61" t="str">
        <f aca="false">IF($M290="","",IFERROR($M290+$U290+$T290+$P290+$Q290+$R290+$S290+$V290+$W290+$X290,"Error"))</f>
        <v/>
      </c>
      <c r="Z290" s="61" t="str">
        <f aca="false">IF($M290="","",IFERROR($Y290-$E290,"Error"))</f>
        <v/>
      </c>
      <c r="AA290" s="60" t="str">
        <f aca="false">IF($M290="","",IFERROR($Z290/($M290+$T290),"Error"))</f>
        <v/>
      </c>
      <c r="AB290" s="62" t="str">
        <f aca="false">IF($M290="","",IFERROR($M290/$E290,"Error"))</f>
        <v/>
      </c>
      <c r="AD290" s="59"/>
      <c r="AE290" s="57"/>
      <c r="AF290" s="58"/>
      <c r="AG290" s="60" t="str">
        <f aca="false">IF(N($AD290)=0,"",IFERROR(($AD290/(1+$L290)-($AD290*$O290+IF($AD290&lt;=15000,1000,IF($AD290&lt;=25000,2000,IF($AD290&lt;=33000,2400,0)))+N($N290))/(1+Datos!$B$2)-$AD290*Datos!$C$2-$C290)/($AD290/(1+$L290)),"Error"))</f>
        <v/>
      </c>
      <c r="AH290" s="61" t="str">
        <f aca="false">IF(N($AD290)=0,"",IFERROR($AD290/(1+$L290)*(1-$AF290)-($AD290*$O290+IF($AD290&lt;=15000,1000,IF($AD290&lt;=25000,2000,IF($AD290&lt;=33000,2400,0)))+N($N290))/(1+Datos!$B$2)-$AD290*Datos!$C$2,"Error"))</f>
        <v/>
      </c>
      <c r="AI290" s="61" t="str">
        <f aca="false">IF($AH290="","",IFERROR($AH290*(1+$D290),"Error"))</f>
        <v/>
      </c>
      <c r="AJ290" s="60" t="str">
        <f aca="false">IF($AH290="","",IFERROR($C290/$AH290-1,"Error"))</f>
        <v/>
      </c>
      <c r="AK290" s="63" t="str">
        <f aca="false">IF($AH290="","",IFERROR(IF($C290&lt;=$AH290,"OK a ese precio","Bajar costo"),"Error"))</f>
        <v/>
      </c>
    </row>
    <row r="291" customFormat="false" ht="15" hidden="false" customHeight="false" outlineLevel="0" collapsed="false">
      <c r="E291" s="0" t="str">
        <f aca="false">IF($C291="","",$C291*(1+$D291))</f>
        <v/>
      </c>
      <c r="J291" s="57"/>
      <c r="K291" s="57"/>
      <c r="L291" s="58"/>
      <c r="M291" s="59"/>
      <c r="N291" s="59"/>
      <c r="O291" s="60" t="str">
        <f aca="false">IF($M291="","",IFERROR(IF($K291="Clásica",VLOOKUP("Argentina"&amp;$J291,Datos!$C:$D,2,0),VLOOKUP("Argentina"&amp;$J291,Datos!$C:$D,2,0)+VLOOKUP("Argentina"&amp;$K291,Datos!$H:$I,2,0)),"Error"))</f>
        <v/>
      </c>
      <c r="P291" s="61" t="str">
        <f aca="false">IF($M291="","",IFERROR(-$M291*$O291,"Error"))</f>
        <v/>
      </c>
      <c r="Q291" s="61" t="str">
        <f aca="false">IF($M291="","",IFERROR(-($P291-$P291/(1+Datos!$B$2)),"Error"))</f>
        <v/>
      </c>
      <c r="R291" s="61" t="str">
        <f aca="false">IF($M291="","",IF($M291&lt;=15000,-1000,IF($M291&lt;=25000,-2000,IF($M291&lt;=33000,-2400,0))))</f>
        <v/>
      </c>
      <c r="S291" s="61" t="str">
        <f aca="false">IF($M291="","",-($R291-$R291/(1+Datos!$B$2)))</f>
        <v/>
      </c>
      <c r="T291" s="61" t="str">
        <f aca="false">IF($M291="","",-$M291/(1+$L291)*$L291)</f>
        <v/>
      </c>
      <c r="U291" s="61" t="str">
        <f aca="false">IF($M291="","",$C291*$D291)</f>
        <v/>
      </c>
      <c r="V291" s="61" t="str">
        <f aca="false">IF($M291="","",-N($N291))</f>
        <v/>
      </c>
      <c r="W291" s="61" t="str">
        <f aca="false">IF($M291="","",-($V291-$V291/(1+Datos!$B$2)))</f>
        <v/>
      </c>
      <c r="X291" s="61" t="str">
        <f aca="false">IF($M291="","",-$M291*Datos!$C$2)</f>
        <v/>
      </c>
      <c r="Y291" s="61" t="str">
        <f aca="false">IF($M291="","",IFERROR($M291+$U291+$T291+$P291+$Q291+$R291+$S291+$V291+$W291+$X291,"Error"))</f>
        <v/>
      </c>
      <c r="Z291" s="61" t="str">
        <f aca="false">IF($M291="","",IFERROR($Y291-$E291,"Error"))</f>
        <v/>
      </c>
      <c r="AA291" s="60" t="str">
        <f aca="false">IF($M291="","",IFERROR($Z291/($M291+$T291),"Error"))</f>
        <v/>
      </c>
      <c r="AB291" s="62" t="str">
        <f aca="false">IF($M291="","",IFERROR($M291/$E291,"Error"))</f>
        <v/>
      </c>
      <c r="AD291" s="59"/>
      <c r="AE291" s="57"/>
      <c r="AF291" s="58"/>
      <c r="AG291" s="60" t="str">
        <f aca="false">IF(N($AD291)=0,"",IFERROR(($AD291/(1+$L291)-($AD291*$O291+IF($AD291&lt;=15000,1000,IF($AD291&lt;=25000,2000,IF($AD291&lt;=33000,2400,0)))+N($N291))/(1+Datos!$B$2)-$AD291*Datos!$C$2-$C291)/($AD291/(1+$L291)),"Error"))</f>
        <v/>
      </c>
      <c r="AH291" s="61" t="str">
        <f aca="false">IF(N($AD291)=0,"",IFERROR($AD291/(1+$L291)*(1-$AF291)-($AD291*$O291+IF($AD291&lt;=15000,1000,IF($AD291&lt;=25000,2000,IF($AD291&lt;=33000,2400,0)))+N($N291))/(1+Datos!$B$2)-$AD291*Datos!$C$2,"Error"))</f>
        <v/>
      </c>
      <c r="AI291" s="61" t="str">
        <f aca="false">IF($AH291="","",IFERROR($AH291*(1+$D291),"Error"))</f>
        <v/>
      </c>
      <c r="AJ291" s="60" t="str">
        <f aca="false">IF($AH291="","",IFERROR($C291/$AH291-1,"Error"))</f>
        <v/>
      </c>
      <c r="AK291" s="63" t="str">
        <f aca="false">IF($AH291="","",IFERROR(IF($C291&lt;=$AH291,"OK a ese precio","Bajar costo"),"Error"))</f>
        <v/>
      </c>
    </row>
    <row r="292" customFormat="false" ht="15" hidden="false" customHeight="false" outlineLevel="0" collapsed="false">
      <c r="E292" s="0" t="str">
        <f aca="false">IF($C292="","",$C292*(1+$D292))</f>
        <v/>
      </c>
      <c r="J292" s="57"/>
      <c r="K292" s="57"/>
      <c r="L292" s="58"/>
      <c r="M292" s="59"/>
      <c r="N292" s="59"/>
      <c r="O292" s="60" t="str">
        <f aca="false">IF($M292="","",IFERROR(IF($K292="Clásica",VLOOKUP("Argentina"&amp;$J292,Datos!$C:$D,2,0),VLOOKUP("Argentina"&amp;$J292,Datos!$C:$D,2,0)+VLOOKUP("Argentina"&amp;$K292,Datos!$H:$I,2,0)),"Error"))</f>
        <v/>
      </c>
      <c r="P292" s="61" t="str">
        <f aca="false">IF($M292="","",IFERROR(-$M292*$O292,"Error"))</f>
        <v/>
      </c>
      <c r="Q292" s="61" t="str">
        <f aca="false">IF($M292="","",IFERROR(-($P292-$P292/(1+Datos!$B$2)),"Error"))</f>
        <v/>
      </c>
      <c r="R292" s="61" t="str">
        <f aca="false">IF($M292="","",IF($M292&lt;=15000,-1000,IF($M292&lt;=25000,-2000,IF($M292&lt;=33000,-2400,0))))</f>
        <v/>
      </c>
      <c r="S292" s="61" t="str">
        <f aca="false">IF($M292="","",-($R292-$R292/(1+Datos!$B$2)))</f>
        <v/>
      </c>
      <c r="T292" s="61" t="str">
        <f aca="false">IF($M292="","",-$M292/(1+$L292)*$L292)</f>
        <v/>
      </c>
      <c r="U292" s="61" t="str">
        <f aca="false">IF($M292="","",$C292*$D292)</f>
        <v/>
      </c>
      <c r="V292" s="61" t="str">
        <f aca="false">IF($M292="","",-N($N292))</f>
        <v/>
      </c>
      <c r="W292" s="61" t="str">
        <f aca="false">IF($M292="","",-($V292-$V292/(1+Datos!$B$2)))</f>
        <v/>
      </c>
      <c r="X292" s="61" t="str">
        <f aca="false">IF($M292="","",-$M292*Datos!$C$2)</f>
        <v/>
      </c>
      <c r="Y292" s="61" t="str">
        <f aca="false">IF($M292="","",IFERROR($M292+$U292+$T292+$P292+$Q292+$R292+$S292+$V292+$W292+$X292,"Error"))</f>
        <v/>
      </c>
      <c r="Z292" s="61" t="str">
        <f aca="false">IF($M292="","",IFERROR($Y292-$E292,"Error"))</f>
        <v/>
      </c>
      <c r="AA292" s="60" t="str">
        <f aca="false">IF($M292="","",IFERROR($Z292/($M292+$T292),"Error"))</f>
        <v/>
      </c>
      <c r="AB292" s="62" t="str">
        <f aca="false">IF($M292="","",IFERROR($M292/$E292,"Error"))</f>
        <v/>
      </c>
      <c r="AD292" s="59"/>
      <c r="AE292" s="57"/>
      <c r="AF292" s="58"/>
      <c r="AG292" s="60" t="str">
        <f aca="false">IF(N($AD292)=0,"",IFERROR(($AD292/(1+$L292)-($AD292*$O292+IF($AD292&lt;=15000,1000,IF($AD292&lt;=25000,2000,IF($AD292&lt;=33000,2400,0)))+N($N292))/(1+Datos!$B$2)-$AD292*Datos!$C$2-$C292)/($AD292/(1+$L292)),"Error"))</f>
        <v/>
      </c>
      <c r="AH292" s="61" t="str">
        <f aca="false">IF(N($AD292)=0,"",IFERROR($AD292/(1+$L292)*(1-$AF292)-($AD292*$O292+IF($AD292&lt;=15000,1000,IF($AD292&lt;=25000,2000,IF($AD292&lt;=33000,2400,0)))+N($N292))/(1+Datos!$B$2)-$AD292*Datos!$C$2,"Error"))</f>
        <v/>
      </c>
      <c r="AI292" s="61" t="str">
        <f aca="false">IF($AH292="","",IFERROR($AH292*(1+$D292),"Error"))</f>
        <v/>
      </c>
      <c r="AJ292" s="60" t="str">
        <f aca="false">IF($AH292="","",IFERROR($C292/$AH292-1,"Error"))</f>
        <v/>
      </c>
      <c r="AK292" s="63" t="str">
        <f aca="false">IF($AH292="","",IFERROR(IF($C292&lt;=$AH292,"OK a ese precio","Bajar costo"),"Error"))</f>
        <v/>
      </c>
    </row>
    <row r="293" customFormat="false" ht="15" hidden="false" customHeight="false" outlineLevel="0" collapsed="false">
      <c r="E293" s="0" t="str">
        <f aca="false">IF($C293="","",$C293*(1+$D293))</f>
        <v/>
      </c>
      <c r="J293" s="57"/>
      <c r="K293" s="57"/>
      <c r="L293" s="58"/>
      <c r="M293" s="59"/>
      <c r="N293" s="59"/>
      <c r="O293" s="60" t="str">
        <f aca="false">IF($M293="","",IFERROR(IF($K293="Clásica",VLOOKUP("Argentina"&amp;$J293,Datos!$C:$D,2,0),VLOOKUP("Argentina"&amp;$J293,Datos!$C:$D,2,0)+VLOOKUP("Argentina"&amp;$K293,Datos!$H:$I,2,0)),"Error"))</f>
        <v/>
      </c>
      <c r="P293" s="61" t="str">
        <f aca="false">IF($M293="","",IFERROR(-$M293*$O293,"Error"))</f>
        <v/>
      </c>
      <c r="Q293" s="61" t="str">
        <f aca="false">IF($M293="","",IFERROR(-($P293-$P293/(1+Datos!$B$2)),"Error"))</f>
        <v/>
      </c>
      <c r="R293" s="61" t="str">
        <f aca="false">IF($M293="","",IF($M293&lt;=15000,-1000,IF($M293&lt;=25000,-2000,IF($M293&lt;=33000,-2400,0))))</f>
        <v/>
      </c>
      <c r="S293" s="61" t="str">
        <f aca="false">IF($M293="","",-($R293-$R293/(1+Datos!$B$2)))</f>
        <v/>
      </c>
      <c r="T293" s="61" t="str">
        <f aca="false">IF($M293="","",-$M293/(1+$L293)*$L293)</f>
        <v/>
      </c>
      <c r="U293" s="61" t="str">
        <f aca="false">IF($M293="","",$C293*$D293)</f>
        <v/>
      </c>
      <c r="V293" s="61" t="str">
        <f aca="false">IF($M293="","",-N($N293))</f>
        <v/>
      </c>
      <c r="W293" s="61" t="str">
        <f aca="false">IF($M293="","",-($V293-$V293/(1+Datos!$B$2)))</f>
        <v/>
      </c>
      <c r="X293" s="61" t="str">
        <f aca="false">IF($M293="","",-$M293*Datos!$C$2)</f>
        <v/>
      </c>
      <c r="Y293" s="61" t="str">
        <f aca="false">IF($M293="","",IFERROR($M293+$U293+$T293+$P293+$Q293+$R293+$S293+$V293+$W293+$X293,"Error"))</f>
        <v/>
      </c>
      <c r="Z293" s="61" t="str">
        <f aca="false">IF($M293="","",IFERROR($Y293-$E293,"Error"))</f>
        <v/>
      </c>
      <c r="AA293" s="60" t="str">
        <f aca="false">IF($M293="","",IFERROR($Z293/($M293+$T293),"Error"))</f>
        <v/>
      </c>
      <c r="AB293" s="62" t="str">
        <f aca="false">IF($M293="","",IFERROR($M293/$E293,"Error"))</f>
        <v/>
      </c>
      <c r="AD293" s="59"/>
      <c r="AE293" s="57"/>
      <c r="AF293" s="58"/>
      <c r="AG293" s="60" t="str">
        <f aca="false">IF(N($AD293)=0,"",IFERROR(($AD293/(1+$L293)-($AD293*$O293+IF($AD293&lt;=15000,1000,IF($AD293&lt;=25000,2000,IF($AD293&lt;=33000,2400,0)))+N($N293))/(1+Datos!$B$2)-$AD293*Datos!$C$2-$C293)/($AD293/(1+$L293)),"Error"))</f>
        <v/>
      </c>
      <c r="AH293" s="61" t="str">
        <f aca="false">IF(N($AD293)=0,"",IFERROR($AD293/(1+$L293)*(1-$AF293)-($AD293*$O293+IF($AD293&lt;=15000,1000,IF($AD293&lt;=25000,2000,IF($AD293&lt;=33000,2400,0)))+N($N293))/(1+Datos!$B$2)-$AD293*Datos!$C$2,"Error"))</f>
        <v/>
      </c>
      <c r="AI293" s="61" t="str">
        <f aca="false">IF($AH293="","",IFERROR($AH293*(1+$D293),"Error"))</f>
        <v/>
      </c>
      <c r="AJ293" s="60" t="str">
        <f aca="false">IF($AH293="","",IFERROR($C293/$AH293-1,"Error"))</f>
        <v/>
      </c>
      <c r="AK293" s="63" t="str">
        <f aca="false">IF($AH293="","",IFERROR(IF($C293&lt;=$AH293,"OK a ese precio","Bajar costo"),"Error"))</f>
        <v/>
      </c>
    </row>
    <row r="294" customFormat="false" ht="15" hidden="false" customHeight="false" outlineLevel="0" collapsed="false">
      <c r="E294" s="0" t="str">
        <f aca="false">IF($C294="","",$C294*(1+$D294))</f>
        <v/>
      </c>
      <c r="J294" s="57"/>
      <c r="K294" s="57"/>
      <c r="L294" s="58"/>
      <c r="M294" s="59"/>
      <c r="N294" s="59"/>
      <c r="O294" s="60" t="str">
        <f aca="false">IF($M294="","",IFERROR(IF($K294="Clásica",VLOOKUP("Argentina"&amp;$J294,Datos!$C:$D,2,0),VLOOKUP("Argentina"&amp;$J294,Datos!$C:$D,2,0)+VLOOKUP("Argentina"&amp;$K294,Datos!$H:$I,2,0)),"Error"))</f>
        <v/>
      </c>
      <c r="P294" s="61" t="str">
        <f aca="false">IF($M294="","",IFERROR(-$M294*$O294,"Error"))</f>
        <v/>
      </c>
      <c r="Q294" s="61" t="str">
        <f aca="false">IF($M294="","",IFERROR(-($P294-$P294/(1+Datos!$B$2)),"Error"))</f>
        <v/>
      </c>
      <c r="R294" s="61" t="str">
        <f aca="false">IF($M294="","",IF($M294&lt;=15000,-1000,IF($M294&lt;=25000,-2000,IF($M294&lt;=33000,-2400,0))))</f>
        <v/>
      </c>
      <c r="S294" s="61" t="str">
        <f aca="false">IF($M294="","",-($R294-$R294/(1+Datos!$B$2)))</f>
        <v/>
      </c>
      <c r="T294" s="61" t="str">
        <f aca="false">IF($M294="","",-$M294/(1+$L294)*$L294)</f>
        <v/>
      </c>
      <c r="U294" s="61" t="str">
        <f aca="false">IF($M294="","",$C294*$D294)</f>
        <v/>
      </c>
      <c r="V294" s="61" t="str">
        <f aca="false">IF($M294="","",-N($N294))</f>
        <v/>
      </c>
      <c r="W294" s="61" t="str">
        <f aca="false">IF($M294="","",-($V294-$V294/(1+Datos!$B$2)))</f>
        <v/>
      </c>
      <c r="X294" s="61" t="str">
        <f aca="false">IF($M294="","",-$M294*Datos!$C$2)</f>
        <v/>
      </c>
      <c r="Y294" s="61" t="str">
        <f aca="false">IF($M294="","",IFERROR($M294+$U294+$T294+$P294+$Q294+$R294+$S294+$V294+$W294+$X294,"Error"))</f>
        <v/>
      </c>
      <c r="Z294" s="61" t="str">
        <f aca="false">IF($M294="","",IFERROR($Y294-$E294,"Error"))</f>
        <v/>
      </c>
      <c r="AA294" s="60" t="str">
        <f aca="false">IF($M294="","",IFERROR($Z294/($M294+$T294),"Error"))</f>
        <v/>
      </c>
      <c r="AB294" s="62" t="str">
        <f aca="false">IF($M294="","",IFERROR($M294/$E294,"Error"))</f>
        <v/>
      </c>
      <c r="AD294" s="59"/>
      <c r="AE294" s="57"/>
      <c r="AF294" s="58"/>
      <c r="AG294" s="60" t="str">
        <f aca="false">IF(N($AD294)=0,"",IFERROR(($AD294/(1+$L294)-($AD294*$O294+IF($AD294&lt;=15000,1000,IF($AD294&lt;=25000,2000,IF($AD294&lt;=33000,2400,0)))+N($N294))/(1+Datos!$B$2)-$AD294*Datos!$C$2-$C294)/($AD294/(1+$L294)),"Error"))</f>
        <v/>
      </c>
      <c r="AH294" s="61" t="str">
        <f aca="false">IF(N($AD294)=0,"",IFERROR($AD294/(1+$L294)*(1-$AF294)-($AD294*$O294+IF($AD294&lt;=15000,1000,IF($AD294&lt;=25000,2000,IF($AD294&lt;=33000,2400,0)))+N($N294))/(1+Datos!$B$2)-$AD294*Datos!$C$2,"Error"))</f>
        <v/>
      </c>
      <c r="AI294" s="61" t="str">
        <f aca="false">IF($AH294="","",IFERROR($AH294*(1+$D294),"Error"))</f>
        <v/>
      </c>
      <c r="AJ294" s="60" t="str">
        <f aca="false">IF($AH294="","",IFERROR($C294/$AH294-1,"Error"))</f>
        <v/>
      </c>
      <c r="AK294" s="63" t="str">
        <f aca="false">IF($AH294="","",IFERROR(IF($C294&lt;=$AH294,"OK a ese precio","Bajar costo"),"Error"))</f>
        <v/>
      </c>
    </row>
    <row r="295" customFormat="false" ht="15" hidden="false" customHeight="false" outlineLevel="0" collapsed="false">
      <c r="E295" s="0" t="str">
        <f aca="false">IF($C295="","",$C295*(1+$D295))</f>
        <v/>
      </c>
      <c r="J295" s="57"/>
      <c r="K295" s="57"/>
      <c r="L295" s="58"/>
      <c r="M295" s="59"/>
      <c r="N295" s="59"/>
      <c r="O295" s="60" t="str">
        <f aca="false">IF($M295="","",IFERROR(IF($K295="Clásica",VLOOKUP("Argentina"&amp;$J295,Datos!$C:$D,2,0),VLOOKUP("Argentina"&amp;$J295,Datos!$C:$D,2,0)+VLOOKUP("Argentina"&amp;$K295,Datos!$H:$I,2,0)),"Error"))</f>
        <v/>
      </c>
      <c r="P295" s="61" t="str">
        <f aca="false">IF($M295="","",IFERROR(-$M295*$O295,"Error"))</f>
        <v/>
      </c>
      <c r="Q295" s="61" t="str">
        <f aca="false">IF($M295="","",IFERROR(-($P295-$P295/(1+Datos!$B$2)),"Error"))</f>
        <v/>
      </c>
      <c r="R295" s="61" t="str">
        <f aca="false">IF($M295="","",IF($M295&lt;=15000,-1000,IF($M295&lt;=25000,-2000,IF($M295&lt;=33000,-2400,0))))</f>
        <v/>
      </c>
      <c r="S295" s="61" t="str">
        <f aca="false">IF($M295="","",-($R295-$R295/(1+Datos!$B$2)))</f>
        <v/>
      </c>
      <c r="T295" s="61" t="str">
        <f aca="false">IF($M295="","",-$M295/(1+$L295)*$L295)</f>
        <v/>
      </c>
      <c r="U295" s="61" t="str">
        <f aca="false">IF($M295="","",$C295*$D295)</f>
        <v/>
      </c>
      <c r="V295" s="61" t="str">
        <f aca="false">IF($M295="","",-N($N295))</f>
        <v/>
      </c>
      <c r="W295" s="61" t="str">
        <f aca="false">IF($M295="","",-($V295-$V295/(1+Datos!$B$2)))</f>
        <v/>
      </c>
      <c r="X295" s="61" t="str">
        <f aca="false">IF($M295="","",-$M295*Datos!$C$2)</f>
        <v/>
      </c>
      <c r="Y295" s="61" t="str">
        <f aca="false">IF($M295="","",IFERROR($M295+$U295+$T295+$P295+$Q295+$R295+$S295+$V295+$W295+$X295,"Error"))</f>
        <v/>
      </c>
      <c r="Z295" s="61" t="str">
        <f aca="false">IF($M295="","",IFERROR($Y295-$E295,"Error"))</f>
        <v/>
      </c>
      <c r="AA295" s="60" t="str">
        <f aca="false">IF($M295="","",IFERROR($Z295/($M295+$T295),"Error"))</f>
        <v/>
      </c>
      <c r="AB295" s="62" t="str">
        <f aca="false">IF($M295="","",IFERROR($M295/$E295,"Error"))</f>
        <v/>
      </c>
      <c r="AD295" s="59"/>
      <c r="AE295" s="57"/>
      <c r="AF295" s="58"/>
      <c r="AG295" s="60" t="str">
        <f aca="false">IF(N($AD295)=0,"",IFERROR(($AD295/(1+$L295)-($AD295*$O295+IF($AD295&lt;=15000,1000,IF($AD295&lt;=25000,2000,IF($AD295&lt;=33000,2400,0)))+N($N295))/(1+Datos!$B$2)-$AD295*Datos!$C$2-$C295)/($AD295/(1+$L295)),"Error"))</f>
        <v/>
      </c>
      <c r="AH295" s="61" t="str">
        <f aca="false">IF(N($AD295)=0,"",IFERROR($AD295/(1+$L295)*(1-$AF295)-($AD295*$O295+IF($AD295&lt;=15000,1000,IF($AD295&lt;=25000,2000,IF($AD295&lt;=33000,2400,0)))+N($N295))/(1+Datos!$B$2)-$AD295*Datos!$C$2,"Error"))</f>
        <v/>
      </c>
      <c r="AI295" s="61" t="str">
        <f aca="false">IF($AH295="","",IFERROR($AH295*(1+$D295),"Error"))</f>
        <v/>
      </c>
      <c r="AJ295" s="60" t="str">
        <f aca="false">IF($AH295="","",IFERROR($C295/$AH295-1,"Error"))</f>
        <v/>
      </c>
      <c r="AK295" s="63" t="str">
        <f aca="false">IF($AH295="","",IFERROR(IF($C295&lt;=$AH295,"OK a ese precio","Bajar costo"),"Error"))</f>
        <v/>
      </c>
    </row>
    <row r="296" customFormat="false" ht="15" hidden="false" customHeight="false" outlineLevel="0" collapsed="false">
      <c r="E296" s="0" t="str">
        <f aca="false">IF($C296="","",$C296*(1+$D296))</f>
        <v/>
      </c>
      <c r="J296" s="57"/>
      <c r="K296" s="57"/>
      <c r="L296" s="58"/>
      <c r="M296" s="59"/>
      <c r="N296" s="59"/>
      <c r="O296" s="60" t="str">
        <f aca="false">IF($M296="","",IFERROR(IF($K296="Clásica",VLOOKUP("Argentina"&amp;$J296,Datos!$C:$D,2,0),VLOOKUP("Argentina"&amp;$J296,Datos!$C:$D,2,0)+VLOOKUP("Argentina"&amp;$K296,Datos!$H:$I,2,0)),"Error"))</f>
        <v/>
      </c>
      <c r="P296" s="61" t="str">
        <f aca="false">IF($M296="","",IFERROR(-$M296*$O296,"Error"))</f>
        <v/>
      </c>
      <c r="Q296" s="61" t="str">
        <f aca="false">IF($M296="","",IFERROR(-($P296-$P296/(1+Datos!$B$2)),"Error"))</f>
        <v/>
      </c>
      <c r="R296" s="61" t="str">
        <f aca="false">IF($M296="","",IF($M296&lt;=15000,-1000,IF($M296&lt;=25000,-2000,IF($M296&lt;=33000,-2400,0))))</f>
        <v/>
      </c>
      <c r="S296" s="61" t="str">
        <f aca="false">IF($M296="","",-($R296-$R296/(1+Datos!$B$2)))</f>
        <v/>
      </c>
      <c r="T296" s="61" t="str">
        <f aca="false">IF($M296="","",-$M296/(1+$L296)*$L296)</f>
        <v/>
      </c>
      <c r="U296" s="61" t="str">
        <f aca="false">IF($M296="","",$C296*$D296)</f>
        <v/>
      </c>
      <c r="V296" s="61" t="str">
        <f aca="false">IF($M296="","",-N($N296))</f>
        <v/>
      </c>
      <c r="W296" s="61" t="str">
        <f aca="false">IF($M296="","",-($V296-$V296/(1+Datos!$B$2)))</f>
        <v/>
      </c>
      <c r="X296" s="61" t="str">
        <f aca="false">IF($M296="","",-$M296*Datos!$C$2)</f>
        <v/>
      </c>
      <c r="Y296" s="61" t="str">
        <f aca="false">IF($M296="","",IFERROR($M296+$U296+$T296+$P296+$Q296+$R296+$S296+$V296+$W296+$X296,"Error"))</f>
        <v/>
      </c>
      <c r="Z296" s="61" t="str">
        <f aca="false">IF($M296="","",IFERROR($Y296-$E296,"Error"))</f>
        <v/>
      </c>
      <c r="AA296" s="60" t="str">
        <f aca="false">IF($M296="","",IFERROR($Z296/($M296+$T296),"Error"))</f>
        <v/>
      </c>
      <c r="AB296" s="62" t="str">
        <f aca="false">IF($M296="","",IFERROR($M296/$E296,"Error"))</f>
        <v/>
      </c>
      <c r="AD296" s="59"/>
      <c r="AE296" s="57"/>
      <c r="AF296" s="58"/>
      <c r="AG296" s="60" t="str">
        <f aca="false">IF(N($AD296)=0,"",IFERROR(($AD296/(1+$L296)-($AD296*$O296+IF($AD296&lt;=15000,1000,IF($AD296&lt;=25000,2000,IF($AD296&lt;=33000,2400,0)))+N($N296))/(1+Datos!$B$2)-$AD296*Datos!$C$2-$C296)/($AD296/(1+$L296)),"Error"))</f>
        <v/>
      </c>
      <c r="AH296" s="61" t="str">
        <f aca="false">IF(N($AD296)=0,"",IFERROR($AD296/(1+$L296)*(1-$AF296)-($AD296*$O296+IF($AD296&lt;=15000,1000,IF($AD296&lt;=25000,2000,IF($AD296&lt;=33000,2400,0)))+N($N296))/(1+Datos!$B$2)-$AD296*Datos!$C$2,"Error"))</f>
        <v/>
      </c>
      <c r="AI296" s="61" t="str">
        <f aca="false">IF($AH296="","",IFERROR($AH296*(1+$D296),"Error"))</f>
        <v/>
      </c>
      <c r="AJ296" s="60" t="str">
        <f aca="false">IF($AH296="","",IFERROR($C296/$AH296-1,"Error"))</f>
        <v/>
      </c>
      <c r="AK296" s="63" t="str">
        <f aca="false">IF($AH296="","",IFERROR(IF($C296&lt;=$AH296,"OK a ese precio","Bajar costo"),"Error"))</f>
        <v/>
      </c>
    </row>
    <row r="297" customFormat="false" ht="15" hidden="false" customHeight="false" outlineLevel="0" collapsed="false">
      <c r="E297" s="0" t="str">
        <f aca="false">IF($C297="","",$C297*(1+$D297))</f>
        <v/>
      </c>
      <c r="J297" s="57"/>
      <c r="K297" s="57"/>
      <c r="L297" s="58"/>
      <c r="M297" s="59"/>
      <c r="N297" s="59"/>
      <c r="O297" s="60" t="str">
        <f aca="false">IF($M297="","",IFERROR(IF($K297="Clásica",VLOOKUP("Argentina"&amp;$J297,Datos!$C:$D,2,0),VLOOKUP("Argentina"&amp;$J297,Datos!$C:$D,2,0)+VLOOKUP("Argentina"&amp;$K297,Datos!$H:$I,2,0)),"Error"))</f>
        <v/>
      </c>
      <c r="P297" s="61" t="str">
        <f aca="false">IF($M297="","",IFERROR(-$M297*$O297,"Error"))</f>
        <v/>
      </c>
      <c r="Q297" s="61" t="str">
        <f aca="false">IF($M297="","",IFERROR(-($P297-$P297/(1+Datos!$B$2)),"Error"))</f>
        <v/>
      </c>
      <c r="R297" s="61" t="str">
        <f aca="false">IF($M297="","",IF($M297&lt;=15000,-1000,IF($M297&lt;=25000,-2000,IF($M297&lt;=33000,-2400,0))))</f>
        <v/>
      </c>
      <c r="S297" s="61" t="str">
        <f aca="false">IF($M297="","",-($R297-$R297/(1+Datos!$B$2)))</f>
        <v/>
      </c>
      <c r="T297" s="61" t="str">
        <f aca="false">IF($M297="","",-$M297/(1+$L297)*$L297)</f>
        <v/>
      </c>
      <c r="U297" s="61" t="str">
        <f aca="false">IF($M297="","",$C297*$D297)</f>
        <v/>
      </c>
      <c r="V297" s="61" t="str">
        <f aca="false">IF($M297="","",-N($N297))</f>
        <v/>
      </c>
      <c r="W297" s="61" t="str">
        <f aca="false">IF($M297="","",-($V297-$V297/(1+Datos!$B$2)))</f>
        <v/>
      </c>
      <c r="X297" s="61" t="str">
        <f aca="false">IF($M297="","",-$M297*Datos!$C$2)</f>
        <v/>
      </c>
      <c r="Y297" s="61" t="str">
        <f aca="false">IF($M297="","",IFERROR($M297+$U297+$T297+$P297+$Q297+$R297+$S297+$V297+$W297+$X297,"Error"))</f>
        <v/>
      </c>
      <c r="Z297" s="61" t="str">
        <f aca="false">IF($M297="","",IFERROR($Y297-$E297,"Error"))</f>
        <v/>
      </c>
      <c r="AA297" s="60" t="str">
        <f aca="false">IF($M297="","",IFERROR($Z297/($M297+$T297),"Error"))</f>
        <v/>
      </c>
      <c r="AB297" s="62" t="str">
        <f aca="false">IF($M297="","",IFERROR($M297/$E297,"Error"))</f>
        <v/>
      </c>
      <c r="AD297" s="59"/>
      <c r="AE297" s="57"/>
      <c r="AF297" s="58"/>
      <c r="AG297" s="60" t="str">
        <f aca="false">IF(N($AD297)=0,"",IFERROR(($AD297/(1+$L297)-($AD297*$O297+IF($AD297&lt;=15000,1000,IF($AD297&lt;=25000,2000,IF($AD297&lt;=33000,2400,0)))+N($N297))/(1+Datos!$B$2)-$AD297*Datos!$C$2-$C297)/($AD297/(1+$L297)),"Error"))</f>
        <v/>
      </c>
      <c r="AH297" s="61" t="str">
        <f aca="false">IF(N($AD297)=0,"",IFERROR($AD297/(1+$L297)*(1-$AF297)-($AD297*$O297+IF($AD297&lt;=15000,1000,IF($AD297&lt;=25000,2000,IF($AD297&lt;=33000,2400,0)))+N($N297))/(1+Datos!$B$2)-$AD297*Datos!$C$2,"Error"))</f>
        <v/>
      </c>
      <c r="AI297" s="61" t="str">
        <f aca="false">IF($AH297="","",IFERROR($AH297*(1+$D297),"Error"))</f>
        <v/>
      </c>
      <c r="AJ297" s="60" t="str">
        <f aca="false">IF($AH297="","",IFERROR($C297/$AH297-1,"Error"))</f>
        <v/>
      </c>
      <c r="AK297" s="63" t="str">
        <f aca="false">IF($AH297="","",IFERROR(IF($C297&lt;=$AH297,"OK a ese precio","Bajar costo"),"Error"))</f>
        <v/>
      </c>
    </row>
    <row r="298" customFormat="false" ht="15" hidden="false" customHeight="false" outlineLevel="0" collapsed="false">
      <c r="E298" s="0" t="str">
        <f aca="false">IF($C298="","",$C298*(1+$D298))</f>
        <v/>
      </c>
      <c r="J298" s="57"/>
      <c r="K298" s="57"/>
      <c r="L298" s="58"/>
      <c r="M298" s="59"/>
      <c r="N298" s="59"/>
      <c r="O298" s="60" t="str">
        <f aca="false">IF($M298="","",IFERROR(IF($K298="Clásica",VLOOKUP("Argentina"&amp;$J298,Datos!$C:$D,2,0),VLOOKUP("Argentina"&amp;$J298,Datos!$C:$D,2,0)+VLOOKUP("Argentina"&amp;$K298,Datos!$H:$I,2,0)),"Error"))</f>
        <v/>
      </c>
      <c r="P298" s="61" t="str">
        <f aca="false">IF($M298="","",IFERROR(-$M298*$O298,"Error"))</f>
        <v/>
      </c>
      <c r="Q298" s="61" t="str">
        <f aca="false">IF($M298="","",IFERROR(-($P298-$P298/(1+Datos!$B$2)),"Error"))</f>
        <v/>
      </c>
      <c r="R298" s="61" t="str">
        <f aca="false">IF($M298="","",IF($M298&lt;=15000,-1000,IF($M298&lt;=25000,-2000,IF($M298&lt;=33000,-2400,0))))</f>
        <v/>
      </c>
      <c r="S298" s="61" t="str">
        <f aca="false">IF($M298="","",-($R298-$R298/(1+Datos!$B$2)))</f>
        <v/>
      </c>
      <c r="T298" s="61" t="str">
        <f aca="false">IF($M298="","",-$M298/(1+$L298)*$L298)</f>
        <v/>
      </c>
      <c r="U298" s="61" t="str">
        <f aca="false">IF($M298="","",$C298*$D298)</f>
        <v/>
      </c>
      <c r="V298" s="61" t="str">
        <f aca="false">IF($M298="","",-N($N298))</f>
        <v/>
      </c>
      <c r="W298" s="61" t="str">
        <f aca="false">IF($M298="","",-($V298-$V298/(1+Datos!$B$2)))</f>
        <v/>
      </c>
      <c r="X298" s="61" t="str">
        <f aca="false">IF($M298="","",-$M298*Datos!$C$2)</f>
        <v/>
      </c>
      <c r="Y298" s="61" t="str">
        <f aca="false">IF($M298="","",IFERROR($M298+$U298+$T298+$P298+$Q298+$R298+$S298+$V298+$W298+$X298,"Error"))</f>
        <v/>
      </c>
      <c r="Z298" s="61" t="str">
        <f aca="false">IF($M298="","",IFERROR($Y298-$E298,"Error"))</f>
        <v/>
      </c>
      <c r="AA298" s="60" t="str">
        <f aca="false">IF($M298="","",IFERROR($Z298/($M298+$T298),"Error"))</f>
        <v/>
      </c>
      <c r="AB298" s="62" t="str">
        <f aca="false">IF($M298="","",IFERROR($M298/$E298,"Error"))</f>
        <v/>
      </c>
      <c r="AD298" s="59"/>
      <c r="AE298" s="57"/>
      <c r="AF298" s="58"/>
      <c r="AG298" s="60" t="str">
        <f aca="false">IF(N($AD298)=0,"",IFERROR(($AD298/(1+$L298)-($AD298*$O298+IF($AD298&lt;=15000,1000,IF($AD298&lt;=25000,2000,IF($AD298&lt;=33000,2400,0)))+N($N298))/(1+Datos!$B$2)-$AD298*Datos!$C$2-$C298)/($AD298/(1+$L298)),"Error"))</f>
        <v/>
      </c>
      <c r="AH298" s="61" t="str">
        <f aca="false">IF(N($AD298)=0,"",IFERROR($AD298/(1+$L298)*(1-$AF298)-($AD298*$O298+IF($AD298&lt;=15000,1000,IF($AD298&lt;=25000,2000,IF($AD298&lt;=33000,2400,0)))+N($N298))/(1+Datos!$B$2)-$AD298*Datos!$C$2,"Error"))</f>
        <v/>
      </c>
      <c r="AI298" s="61" t="str">
        <f aca="false">IF($AH298="","",IFERROR($AH298*(1+$D298),"Error"))</f>
        <v/>
      </c>
      <c r="AJ298" s="60" t="str">
        <f aca="false">IF($AH298="","",IFERROR($C298/$AH298-1,"Error"))</f>
        <v/>
      </c>
      <c r="AK298" s="63" t="str">
        <f aca="false">IF($AH298="","",IFERROR(IF($C298&lt;=$AH298,"OK a ese precio","Bajar costo"),"Error"))</f>
        <v/>
      </c>
    </row>
    <row r="299" customFormat="false" ht="15" hidden="false" customHeight="false" outlineLevel="0" collapsed="false">
      <c r="E299" s="0" t="str">
        <f aca="false">IF($C299="","",$C299*(1+$D299))</f>
        <v/>
      </c>
      <c r="J299" s="57"/>
      <c r="K299" s="57"/>
      <c r="L299" s="58"/>
      <c r="M299" s="59"/>
      <c r="N299" s="59"/>
      <c r="O299" s="60" t="str">
        <f aca="false">IF($M299="","",IFERROR(IF($K299="Clásica",VLOOKUP("Argentina"&amp;$J299,Datos!$C:$D,2,0),VLOOKUP("Argentina"&amp;$J299,Datos!$C:$D,2,0)+VLOOKUP("Argentina"&amp;$K299,Datos!$H:$I,2,0)),"Error"))</f>
        <v/>
      </c>
      <c r="P299" s="61" t="str">
        <f aca="false">IF($M299="","",IFERROR(-$M299*$O299,"Error"))</f>
        <v/>
      </c>
      <c r="Q299" s="61" t="str">
        <f aca="false">IF($M299="","",IFERROR(-($P299-$P299/(1+Datos!$B$2)),"Error"))</f>
        <v/>
      </c>
      <c r="R299" s="61" t="str">
        <f aca="false">IF($M299="","",IF($M299&lt;=15000,-1000,IF($M299&lt;=25000,-2000,IF($M299&lt;=33000,-2400,0))))</f>
        <v/>
      </c>
      <c r="S299" s="61" t="str">
        <f aca="false">IF($M299="","",-($R299-$R299/(1+Datos!$B$2)))</f>
        <v/>
      </c>
      <c r="T299" s="61" t="str">
        <f aca="false">IF($M299="","",-$M299/(1+$L299)*$L299)</f>
        <v/>
      </c>
      <c r="U299" s="61" t="str">
        <f aca="false">IF($M299="","",$C299*$D299)</f>
        <v/>
      </c>
      <c r="V299" s="61" t="str">
        <f aca="false">IF($M299="","",-N($N299))</f>
        <v/>
      </c>
      <c r="W299" s="61" t="str">
        <f aca="false">IF($M299="","",-($V299-$V299/(1+Datos!$B$2)))</f>
        <v/>
      </c>
      <c r="X299" s="61" t="str">
        <f aca="false">IF($M299="","",-$M299*Datos!$C$2)</f>
        <v/>
      </c>
      <c r="Y299" s="61" t="str">
        <f aca="false">IF($M299="","",IFERROR($M299+$U299+$T299+$P299+$Q299+$R299+$S299+$V299+$W299+$X299,"Error"))</f>
        <v/>
      </c>
      <c r="Z299" s="61" t="str">
        <f aca="false">IF($M299="","",IFERROR($Y299-$E299,"Error"))</f>
        <v/>
      </c>
      <c r="AA299" s="60" t="str">
        <f aca="false">IF($M299="","",IFERROR($Z299/($M299+$T299),"Error"))</f>
        <v/>
      </c>
      <c r="AB299" s="62" t="str">
        <f aca="false">IF($M299="","",IFERROR($M299/$E299,"Error"))</f>
        <v/>
      </c>
      <c r="AD299" s="59"/>
      <c r="AE299" s="57"/>
      <c r="AF299" s="58"/>
      <c r="AG299" s="60" t="str">
        <f aca="false">IF(N($AD299)=0,"",IFERROR(($AD299/(1+$L299)-($AD299*$O299+IF($AD299&lt;=15000,1000,IF($AD299&lt;=25000,2000,IF($AD299&lt;=33000,2400,0)))+N($N299))/(1+Datos!$B$2)-$AD299*Datos!$C$2-$C299)/($AD299/(1+$L299)),"Error"))</f>
        <v/>
      </c>
      <c r="AH299" s="61" t="str">
        <f aca="false">IF(N($AD299)=0,"",IFERROR($AD299/(1+$L299)*(1-$AF299)-($AD299*$O299+IF($AD299&lt;=15000,1000,IF($AD299&lt;=25000,2000,IF($AD299&lt;=33000,2400,0)))+N($N299))/(1+Datos!$B$2)-$AD299*Datos!$C$2,"Error"))</f>
        <v/>
      </c>
      <c r="AI299" s="61" t="str">
        <f aca="false">IF($AH299="","",IFERROR($AH299*(1+$D299),"Error"))</f>
        <v/>
      </c>
      <c r="AJ299" s="60" t="str">
        <f aca="false">IF($AH299="","",IFERROR($C299/$AH299-1,"Error"))</f>
        <v/>
      </c>
      <c r="AK299" s="63" t="str">
        <f aca="false">IF($AH299="","",IFERROR(IF($C299&lt;=$AH299,"OK a ese precio","Bajar costo"),"Error"))</f>
        <v/>
      </c>
    </row>
    <row r="300" customFormat="false" ht="15" hidden="false" customHeight="false" outlineLevel="0" collapsed="false">
      <c r="E300" s="0" t="str">
        <f aca="false">IF($C300="","",$C300*(1+$D300))</f>
        <v/>
      </c>
      <c r="J300" s="57"/>
      <c r="K300" s="57"/>
      <c r="L300" s="58"/>
      <c r="M300" s="59"/>
      <c r="N300" s="59"/>
      <c r="O300" s="60" t="str">
        <f aca="false">IF($M300="","",IFERROR(IF($K300="Clásica",VLOOKUP("Argentina"&amp;$J300,Datos!$C:$D,2,0),VLOOKUP("Argentina"&amp;$J300,Datos!$C:$D,2,0)+VLOOKUP("Argentina"&amp;$K300,Datos!$H:$I,2,0)),"Error"))</f>
        <v/>
      </c>
      <c r="P300" s="61" t="str">
        <f aca="false">IF($M300="","",IFERROR(-$M300*$O300,"Error"))</f>
        <v/>
      </c>
      <c r="Q300" s="61" t="str">
        <f aca="false">IF($M300="","",IFERROR(-($P300-$P300/(1+Datos!$B$2)),"Error"))</f>
        <v/>
      </c>
      <c r="R300" s="61" t="str">
        <f aca="false">IF($M300="","",IF($M300&lt;=15000,-1000,IF($M300&lt;=25000,-2000,IF($M300&lt;=33000,-2400,0))))</f>
        <v/>
      </c>
      <c r="S300" s="61" t="str">
        <f aca="false">IF($M300="","",-($R300-$R300/(1+Datos!$B$2)))</f>
        <v/>
      </c>
      <c r="T300" s="61" t="str">
        <f aca="false">IF($M300="","",-$M300/(1+$L300)*$L300)</f>
        <v/>
      </c>
      <c r="U300" s="61" t="str">
        <f aca="false">IF($M300="","",$C300*$D300)</f>
        <v/>
      </c>
      <c r="V300" s="61" t="str">
        <f aca="false">IF($M300="","",-N($N300))</f>
        <v/>
      </c>
      <c r="W300" s="61" t="str">
        <f aca="false">IF($M300="","",-($V300-$V300/(1+Datos!$B$2)))</f>
        <v/>
      </c>
      <c r="X300" s="61" t="str">
        <f aca="false">IF($M300="","",-$M300*Datos!$C$2)</f>
        <v/>
      </c>
      <c r="Y300" s="61" t="str">
        <f aca="false">IF($M300="","",IFERROR($M300+$U300+$T300+$P300+$Q300+$R300+$S300+$V300+$W300+$X300,"Error"))</f>
        <v/>
      </c>
      <c r="Z300" s="61" t="str">
        <f aca="false">IF($M300="","",IFERROR($Y300-$E300,"Error"))</f>
        <v/>
      </c>
      <c r="AA300" s="60" t="str">
        <f aca="false">IF($M300="","",IFERROR($Z300/($M300+$T300),"Error"))</f>
        <v/>
      </c>
      <c r="AB300" s="62" t="str">
        <f aca="false">IF($M300="","",IFERROR($M300/$E300,"Error"))</f>
        <v/>
      </c>
      <c r="AD300" s="59"/>
      <c r="AE300" s="57"/>
      <c r="AF300" s="58"/>
      <c r="AG300" s="60" t="str">
        <f aca="false">IF(N($AD300)=0,"",IFERROR(($AD300/(1+$L300)-($AD300*$O300+IF($AD300&lt;=15000,1000,IF($AD300&lt;=25000,2000,IF($AD300&lt;=33000,2400,0)))+N($N300))/(1+Datos!$B$2)-$AD300*Datos!$C$2-$C300)/($AD300/(1+$L300)),"Error"))</f>
        <v/>
      </c>
      <c r="AH300" s="61" t="str">
        <f aca="false">IF(N($AD300)=0,"",IFERROR($AD300/(1+$L300)*(1-$AF300)-($AD300*$O300+IF($AD300&lt;=15000,1000,IF($AD300&lt;=25000,2000,IF($AD300&lt;=33000,2400,0)))+N($N300))/(1+Datos!$B$2)-$AD300*Datos!$C$2,"Error"))</f>
        <v/>
      </c>
      <c r="AI300" s="61" t="str">
        <f aca="false">IF($AH300="","",IFERROR($AH300*(1+$D300),"Error"))</f>
        <v/>
      </c>
      <c r="AJ300" s="60" t="str">
        <f aca="false">IF($AH300="","",IFERROR($C300/$AH300-1,"Error"))</f>
        <v/>
      </c>
      <c r="AK300" s="63" t="str">
        <f aca="false">IF($AH300="","",IFERROR(IF($C300&lt;=$AH300,"OK a ese precio","Bajar costo"),"Error"))</f>
        <v/>
      </c>
    </row>
  </sheetData>
  <dataValidations count="3">
    <dataValidation allowBlank="true" errorStyle="stop" operator="between" prompt="Elegí 21% o 10,5% según el producto." promptTitle="IVA" showDropDown="false" showErrorMessage="false" showInputMessage="true" sqref="D2:D300 L2:L300" type="list">
      <formula1>Datos!$M$2:$M$3</formula1>
      <formula2>0</formula2>
    </dataValidation>
    <dataValidation allowBlank="true" errorStyle="stop" operator="between" showDropDown="false" showErrorMessage="false" showInputMessage="false" sqref="J2:J300" type="list">
      <formula1>Datos!$B$8:$B$19</formula1>
      <formula2>0</formula2>
    </dataValidation>
    <dataValidation allowBlank="true" errorStyle="stop" operator="between" showDropDown="false" showErrorMessage="false" showInputMessage="false" sqref="K2:K300" type="list">
      <formula1>Datos!$K$2:$K$10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Sebastian Oliveri</dc:creator>
  <dc:description/>
  <dc:language>en-US</dc:language>
  <cp:lastModifiedBy>Carra, Franco {PEP}</cp:lastModifiedBy>
  <dcterms:modified xsi:type="dcterms:W3CDTF">2026-10-27T17:37:26Z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